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00" activeTab="2"/>
  </bookViews>
  <sheets>
    <sheet name="00_使用说明" sheetId="1" r:id="rId1"/>
    <sheet name="01_院校数据" sheetId="2" r:id="rId2"/>
    <sheet name="02_学员数据" sheetId="3" r:id="rId3"/>
    <sheet name="03_三阶段路线图" sheetId="4" r:id="rId4"/>
    <sheet name="04_未来扩展层" sheetId="5" r:id="rId5"/>
  </sheets>
  <definedNames>
    <definedName name="_xlnm._FilterDatabase" localSheetId="1" hidden="1">'01_院校数据'!$A$3:$J$61</definedName>
    <definedName name="_xlnm._FilterDatabase" localSheetId="2" hidden="1">'02_学员数据'!$A$3:$J$30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<sst xmlns="http://schemas.openxmlformats.org/spreadsheetml/2006/main" count="869" uniqueCount="327">
  <si>
    <t>研知道院校与学员数据字段清单 v1.5</t>
  </si>
  <si>
    <t/>
  </si>
  <si>
    <t>【v1.5 关键改动】</t>
  </si>
  <si>
    <t>1. 院校所有字段合并为 1 张 sheet 平铺(原 5 个 sheet → 1 个)</t>
  </si>
  <si>
    <t>2. 学员表与院校表结构完全一致,便于对照编辑</t>
  </si>
  <si>
    <t>3. 毕业反馈层暂不收(本阶段聚焦报名前 + 在读基础数据)</t>
  </si>
  <si>
    <t>【表结构】</t>
  </si>
  <si>
    <t>01 院校数据 - 所有字段平铺,内部用区块条分隔(基础/招生/时间/复试/政策)</t>
  </si>
  <si>
    <t>02 学员数据 - 同结构平铺,内部按时间区块(画像/决策/结果)</t>
  </si>
  <si>
    <t>03 三阶段路线图</t>
  </si>
  <si>
    <t>04 未来扩展层(毕业反馈 + 派生指标,后期再做)</t>
  </si>
  <si>
    <t>【业务边界】</t>
  </si>
  <si>
    <t>✓ 区域:川渝</t>
  </si>
  <si>
    <t>✓ 类型:党校在职研(单证) + 非全日制(双证)</t>
  </si>
  <si>
    <t>✓ 专业:MPA / MBA / MEM</t>
  </si>
  <si>
    <t>✓ 服务环节:初试辅导 + 复试辅导</t>
  </si>
  <si>
    <t>✗ 不涉及:全日制 / 其他专业 / 学硕 / 提前面试</t>
  </si>
  <si>
    <t>【两张表的列结构完全一致】</t>
  </si>
  <si>
    <t>序号 | 字段名 | 类型 | 数据来源 | 采集方式 | 优先级 | 字段说明/示例 | 是否新增 | 采纳(Y/N) | 备注</t>
  </si>
  <si>
    <t>【颜色图例】</t>
  </si>
  <si>
    <t>粉色行 = 核心必要字段(P0 必须填到 80%+)</t>
  </si>
  <si>
    <t>黄色 = P0 必做 / 蓝色 = P1 次做 / 绿色 = P2 后做</t>
  </si>
  <si>
    <t>深蓝色区块条 = 模块分隔(原 sheet 边界)</t>
  </si>
  <si>
    <t>【为什么暂不收毕业反馈】</t>
  </si>
  <si>
    <t>毕业反馈是最值钱的护城河,但收集需要 3-5 年回访机制,本阶段先把报名前 + 在读的基础数据建好。</t>
  </si>
  <si>
    <t>毕业反馈相关字段保留在 04 未来扩展层 sheet,等机制成熟再启动。</t>
  </si>
  <si>
    <t>院校数据(全字段平铺)</t>
  </si>
  <si>
    <t>原 5 个 sheet 合并为 1 张表。内部用深蓝区块条分隔模块,便于整体编辑。</t>
  </si>
  <si>
    <t>序号</t>
  </si>
  <si>
    <t>字段名</t>
  </si>
  <si>
    <t>类型</t>
  </si>
  <si>
    <t>数据来源</t>
  </si>
  <si>
    <t>采集方式</t>
  </si>
  <si>
    <t>优先级</t>
  </si>
  <si>
    <t>字段说明/示例</t>
  </si>
  <si>
    <t>是否新增</t>
  </si>
  <si>
    <t>采纳(Y/N)</t>
  </si>
  <si>
    <t>备注</t>
  </si>
  <si>
    <t>▼ 模块 1:院校与项目基础信息</t>
  </si>
  <si>
    <t>院校名称</t>
  </si>
  <si>
    <t>文本</t>
  </si>
  <si>
    <t>公开</t>
  </si>
  <si>
    <t>爬虫</t>
  </si>
  <si>
    <t>P0</t>
  </si>
  <si>
    <t>如 西南财经大学</t>
  </si>
  <si>
    <t>院校代码</t>
  </si>
  <si>
    <t>研招网 5 位代码</t>
  </si>
  <si>
    <t>所在省份</t>
  </si>
  <si>
    <t>枚举</t>
  </si>
  <si>
    <t>四川/重庆</t>
  </si>
  <si>
    <t>所在城市</t>
  </si>
  <si>
    <t>如 成都/重庆</t>
  </si>
  <si>
    <t>主办方</t>
  </si>
  <si>
    <t>人工</t>
  </si>
  <si>
    <t>党校系统 / 普通高校 / 军校 / 科研院所</t>
  </si>
  <si>
    <t>院校层次</t>
  </si>
  <si>
    <t>P1</t>
  </si>
  <si>
    <t>985/211/双一流/普通本科/党校系统/其他</t>
  </si>
  <si>
    <t>专业学院</t>
  </si>
  <si>
    <t>文本(主键)</t>
  </si>
  <si>
    <t>内部</t>
  </si>
  <si>
    <t>人工编码</t>
  </si>
  <si>
    <t>如 西财MBA中心 / 党校研究生部</t>
  </si>
  <si>
    <t>项目制</t>
  </si>
  <si>
    <t>如 西南财经大学 MBA 非全日制</t>
  </si>
  <si>
    <t>专业代码</t>
  </si>
  <si>
    <t>125100 MBA / 125200 MPA / 125601-04 MEM</t>
  </si>
  <si>
    <t>项目类别</t>
  </si>
  <si>
    <t>MBA / MPA / MEM / 党校在职研</t>
  </si>
  <si>
    <t>招生方向列表</t>
  </si>
  <si>
    <t>JSON 数组</t>
  </si>
  <si>
    <t>如 MEM[125601工程管理, 125603工业工程与管理]</t>
  </si>
  <si>
    <t>学制(年)</t>
  </si>
  <si>
    <t>数值</t>
  </si>
  <si>
    <t>2/2.5/3</t>
  </si>
  <si>
    <t>学习方式</t>
  </si>
  <si>
    <t>集中 / 周末 / 网络 / 混合</t>
  </si>
  <si>
    <t>上课地址</t>
  </si>
  <si>
    <t>人工核对</t>
  </si>
  <si>
    <t>校本部 / 分校区 / 异地办学点</t>
  </si>
  <si>
    <t>项目官网URL</t>
  </si>
  <si>
    <t>便于深度了解</t>
  </si>
  <si>
    <t>▼ 模块 2:招生录取数据(按年度多版本)</t>
  </si>
  <si>
    <t>数据年份</t>
  </si>
  <si>
    <t>—</t>
  </si>
  <si>
    <t>年度版本号</t>
  </si>
  <si>
    <t>招生计划数</t>
  </si>
  <si>
    <t>招生简章公布数</t>
  </si>
  <si>
    <t>实际报名数</t>
  </si>
  <si>
    <t>半公开</t>
  </si>
  <si>
    <t>部分院校公布</t>
  </si>
  <si>
    <t>实际录取数</t>
  </si>
  <si>
    <t>拟录取名单可统计</t>
  </si>
  <si>
    <t>报录比</t>
  </si>
  <si>
    <t>自动计算</t>
  </si>
  <si>
    <t>P2</t>
  </si>
  <si>
    <t>国家线A区</t>
  </si>
  <si>
    <t>管综+英语二总分</t>
  </si>
  <si>
    <t>国家线B区</t>
  </si>
  <si>
    <t>调剂可能用到</t>
  </si>
  <si>
    <t>院校线</t>
  </si>
  <si>
    <t>高于国家线的院校才有</t>
  </si>
  <si>
    <t>最低录取分</t>
  </si>
  <si>
    <t>人工+学员回填</t>
  </si>
  <si>
    <t>拟录取名单最末位分数</t>
  </si>
  <si>
    <t>总学费(元)</t>
  </si>
  <si>
    <t>整个学制总费用</t>
  </si>
  <si>
    <t>学费缴纳方式</t>
  </si>
  <si>
    <t>一次性/分期</t>
  </si>
  <si>
    <t>调剂接收政策</t>
  </si>
  <si>
    <t>接收/不接收/有条件</t>
  </si>
  <si>
    <t>调剂偏好说明</t>
  </si>
  <si>
    <t>本校优先/同区域优先等</t>
  </si>
  <si>
    <t>▼ 模块 3:关键时间节点</t>
  </si>
  <si>
    <t>网报时间</t>
  </si>
  <si>
    <t>日期</t>
  </si>
  <si>
    <t>通常 10 月中下旬</t>
  </si>
  <si>
    <t>网上确认时间</t>
  </si>
  <si>
    <t>通常 11 月上旬</t>
  </si>
  <si>
    <t>初试时间</t>
  </si>
  <si>
    <t>管综+英语二</t>
  </si>
  <si>
    <t>复试时间</t>
  </si>
  <si>
    <t>日期范围</t>
  </si>
  <si>
    <t>通常 3 月中下旬</t>
  </si>
  <si>
    <t>录取通知时间</t>
  </si>
  <si>
    <t>便于学员心理预期</t>
  </si>
  <si>
    <t>▼ 模块 4:复试与培养细则(复试是核心服务环节)</t>
  </si>
  <si>
    <t>复试分数占比(%)</t>
  </si>
  <si>
    <t>公开+学员回填</t>
  </si>
  <si>
    <t>通常 30-50%</t>
  </si>
  <si>
    <t>复试科目列表</t>
  </si>
  <si>
    <t>JSON</t>
  </si>
  <si>
    <t>★ 政治/英语/专业课/综合面试</t>
  </si>
  <si>
    <t>是否政治笔试</t>
  </si>
  <si>
    <t>布尔</t>
  </si>
  <si>
    <t>部分院校仍有</t>
  </si>
  <si>
    <t>是否专业课笔试</t>
  </si>
  <si>
    <t>部分 MEM/MPA 院校有</t>
  </si>
  <si>
    <t>面试形式</t>
  </si>
  <si>
    <t>学员回填</t>
  </si>
  <si>
    <t>★ 单面 / 群面 / 无领导小组</t>
  </si>
  <si>
    <t>英语口语权重</t>
  </si>
  <si>
    <t>高/中/低/无</t>
  </si>
  <si>
    <t>课程构成</t>
  </si>
  <si>
    <t>必修/选修/方向课学分占比</t>
  </si>
  <si>
    <t>论文要求</t>
  </si>
  <si>
    <t>案例研究 / 调研报告 / 项目实践</t>
  </si>
  <si>
    <t>毕业难度评级</t>
  </si>
  <si>
    <t>★ 高/中/低</t>
  </si>
  <si>
    <t>▼ 模块 5:报考门槛与特殊政策</t>
  </si>
  <si>
    <t>工作年限要求</t>
  </si>
  <si>
    <t>本科/专科/硕士各自要求</t>
  </si>
  <si>
    <t>是否要求党员</t>
  </si>
  <si>
    <t>党校线常见要求</t>
  </si>
  <si>
    <t>是否要求体制内身份</t>
  </si>
  <si>
    <t>党校在职研基本都要求</t>
  </si>
  <si>
    <t>适合行业/系统</t>
  </si>
  <si>
    <t>如 党政机关/参公/国央企</t>
  </si>
  <si>
    <t>年龄限制</t>
  </si>
  <si>
    <t>如 45 周岁以下</t>
  </si>
  <si>
    <t>定向培养要求</t>
  </si>
  <si>
    <t>是否签定向协议</t>
  </si>
  <si>
    <t>党校线版本号</t>
  </si>
  <si>
    <t>★ 年度文件号锁定版本</t>
  </si>
  <si>
    <t>学员数据</t>
  </si>
  <si>
    <t>与院校数据同结构。内部用区块条按时间维度分隔(咨询 → 报名 → 录取)。本阶段不收毕业反馈。</t>
  </si>
  <si>
    <t>▼ 模块 1:学员画像(咨询时收集)</t>
  </si>
  <si>
    <t>学员名称</t>
  </si>
  <si>
    <t>如 ST-2025-0001 或姓名(脱敏)</t>
  </si>
  <si>
    <t>系统大类</t>
  </si>
  <si>
    <t>私有</t>
  </si>
  <si>
    <t>咨询登记</t>
  </si>
  <si>
    <t>公务员/事业编/国央企/参公/其他</t>
  </si>
  <si>
    <t>系统细分</t>
  </si>
  <si>
    <t>住建/财政/教育/卫健/政法/纪检/组织/宣传/统战/应急/城管/规划/税务/审计等</t>
  </si>
  <si>
    <t>单位层级</t>
  </si>
  <si>
    <t>中央/省直/市直/区县/街道乡镇</t>
  </si>
  <si>
    <t>当前职级</t>
  </si>
  <si>
    <t>科员/副科/正科/副处+</t>
  </si>
  <si>
    <t>工龄段</t>
  </si>
  <si>
    <t>0-3/3-5/5-10/10+ 年</t>
  </si>
  <si>
    <t>本科院校层次</t>
  </si>
  <si>
    <t>985/211/普本/民办/独立学院/专科</t>
  </si>
  <si>
    <t>已有最高学历</t>
  </si>
  <si>
    <t>本科/硕士/博士</t>
  </si>
  <si>
    <t>年龄</t>
  </si>
  <si>
    <t>25-30/30-35/35-40/40+</t>
  </si>
  <si>
    <t>工作地</t>
  </si>
  <si>
    <t>成都/重庆主城/绵阳/泸州等</t>
  </si>
  <si>
    <t>报考动机分类</t>
  </si>
  <si>
    <t>JSON 多选</t>
  </si>
  <si>
    <t>学历兜底/晋升刚需/转岗/职称/系统对口/纯提升</t>
  </si>
  <si>
    <t>▼ 模块 2:决策过程(咨询到报名的轨迹)</t>
  </si>
  <si>
    <t>初始意向院校</t>
  </si>
  <si>
    <t>学员最先想到的院校(判断认知水平)</t>
  </si>
  <si>
    <t>最终报考院校</t>
  </si>
  <si>
    <t>文本(外键)</t>
  </si>
  <si>
    <t>报名登记</t>
  </si>
  <si>
    <t>关联 院校数据 的 专业学院 主键</t>
  </si>
  <si>
    <t>最终报考专业</t>
  </si>
  <si>
    <t>多方向项目里具体选哪个</t>
  </si>
  <si>
    <t>决策变化原因</t>
  </si>
  <si>
    <t>咨询沟通中记录</t>
  </si>
  <si>
    <t>费用/距离/难度/方向/口碑/家庭</t>
  </si>
  <si>
    <t>备考月数</t>
  </si>
  <si>
    <t>从决定到上考场实际时长</t>
  </si>
  <si>
    <t>周复习小时数自评</t>
  </si>
  <si>
    <t>学员主观估计</t>
  </si>
  <si>
    <t>▼ 模块 3:结果命中(录取后)</t>
  </si>
  <si>
    <t>初试总分</t>
  </si>
  <si>
    <t>初试单科分数</t>
  </si>
  <si>
    <t>英语/管综分别记录</t>
  </si>
  <si>
    <t>复试结果</t>
  </si>
  <si>
    <t>通过/未通过/调剂/弃复</t>
  </si>
  <si>
    <t>最终录取院校</t>
  </si>
  <si>
    <t>可能与报考项目不同(调剂情况)</t>
  </si>
  <si>
    <t>与初始意向偏差</t>
  </si>
  <si>
    <t>(派生层处理)</t>
  </si>
  <si>
    <t>命中首选/退而求其次/调剂/未录</t>
  </si>
  <si>
    <t>研知道院校 / 学员数据三阶段落地路线图</t>
  </si>
  <si>
    <t>原则:数据先于工具,P0(粉色核心字段)填到 80%+ 才推进 P1/P2</t>
  </si>
  <si>
    <t>阶段</t>
  </si>
  <si>
    <t>时间窗口</t>
  </si>
  <si>
    <t>范围</t>
  </si>
  <si>
    <t>字段数量</t>
  </si>
  <si>
    <t>核心目标</t>
  </si>
  <si>
    <t>产出物</t>
  </si>
  <si>
    <t>第一阶段</t>
  </si>
  <si>
    <t>0-3 个月</t>
  </si>
  <si>
    <t>核心字段(粉色)+ 其他 P0 字段</t>
  </si>
  <si>
    <t>约 34 字段</t>
  </si>
  <si>
    <t>院校项目结构落地 + 存量 1100+ 学员 P0 字段回填</t>
  </si>
  <si>
    <t>可用的院校库 MVP + 学员画像底表</t>
  </si>
  <si>
    <t>第二阶段</t>
  </si>
  <si>
    <t>3-6 个月</t>
  </si>
  <si>
    <t>P1 字段(招生录取/复试/学员决策)</t>
  </si>
  <si>
    <t>约 20 字段</t>
  </si>
  <si>
    <t>字段填充率提升,推 99 元年订阅产品</t>
  </si>
  <si>
    <t>私有数据深度 +50%,差异化内容可对外</t>
  </si>
  <si>
    <t>第三阶段</t>
  </si>
  <si>
    <t>6-12 个月</t>
  </si>
  <si>
    <t>P2 字段 + 启动毕业反馈层 + 派生指标</t>
  </si>
  <si>
    <t>约 14 字段 + 反馈/派生层</t>
  </si>
  <si>
    <t>毕业反馈机制启动,派生指标 Agent 化</t>
  </si>
  <si>
    <t>完整数据飞轮 + 院校推荐引擎</t>
  </si>
  <si>
    <t>未来扩展层(本阶段不收,等机制成熟再启动)</t>
  </si>
  <si>
    <t>本 sheet 列出后期才启动的两类内容:① 毕业反馈层(回访收集)② 派生指标层(计算生成)</t>
  </si>
  <si>
    <t>一、毕业反馈层(需要 3-5 年回访机制,P2 阶段启动)</t>
  </si>
  <si>
    <t>采集时机</t>
  </si>
  <si>
    <t>说明</t>
  </si>
  <si>
    <t>在读体验评分</t>
  </si>
  <si>
    <t>在读期间(每年)</t>
  </si>
  <si>
    <t>在读期间回访</t>
  </si>
  <si>
    <t>课程/同学/导师/管理,各 1-5 分</t>
  </si>
  <si>
    <t>学位实际用途</t>
  </si>
  <si>
    <t>毕业后 1-3 年</t>
  </si>
  <si>
    <t>毕业后回访</t>
  </si>
  <si>
    <t>★★ 评职称/晋升/调动/转岗/学历兜底/暂未用上</t>
  </si>
  <si>
    <t>单位是否报销</t>
  </si>
  <si>
    <t>在读/毕业初期</t>
  </si>
  <si>
    <t>开放聊天中自然记录</t>
  </si>
  <si>
    <t>全额/部分/不报销</t>
  </si>
  <si>
    <t>单位认可度</t>
  </si>
  <si>
    <t>毕业后</t>
  </si>
  <si>
    <t>高/中/低</t>
  </si>
  <si>
    <t>同学圈层分布</t>
  </si>
  <si>
    <t>同班同学的系统/层级画像</t>
  </si>
  <si>
    <t>是否会推荐给同事</t>
  </si>
  <si>
    <t>毕业后 1 年</t>
  </si>
  <si>
    <t>强烈推荐/推荐/有条件/不推荐</t>
  </si>
  <si>
    <t>实际转介绍数</t>
  </si>
  <si>
    <t>持续累计</t>
  </si>
  <si>
    <t>内部统计</t>
  </si>
  <si>
    <t>该学员实际带来的转介绍</t>
  </si>
  <si>
    <t>毕业后职级变化</t>
  </si>
  <si>
    <t>毕业后年度</t>
  </si>
  <si>
    <t>年度回访(开放聊天)</t>
  </si>
  <si>
    <t>已晋升/在程序中/无变化</t>
  </si>
  <si>
    <t>整体回头看评分</t>
  </si>
  <si>
    <t>毕业后 1 年和 3 年</t>
  </si>
  <si>
    <t>回访</t>
  </si>
  <si>
    <t>★★ 最综合的判断,1-10 分</t>
  </si>
  <si>
    <t>二、派生指标层(基于原始字段计算,P2 阶段启动)</t>
  </si>
  <si>
    <t>派生指标名</t>
  </si>
  <si>
    <t>计算依据</t>
  </si>
  <si>
    <t>用途</t>
  </si>
  <si>
    <t>所需原始字段</t>
  </si>
  <si>
    <t>何时启动</t>
  </si>
  <si>
    <t>系统对口度矩阵</t>
  </si>
  <si>
    <t>院校×系统的录取分布</t>
  </si>
  <si>
    <t>回答"我这个系统去这学校的多吗"</t>
  </si>
  <si>
    <t>字段 65,86</t>
  </si>
  <si>
    <t>P2 阶段</t>
  </si>
  <si>
    <t>同层级密度</t>
  </si>
  <si>
    <t>录取学员中目标层级及以上占比</t>
  </si>
  <si>
    <t>回答"我能遇到同层级的人吗"</t>
  </si>
  <si>
    <t>字段 67,86</t>
  </si>
  <si>
    <t>难度真实度</t>
  </si>
  <si>
    <t>录取学员的备考月数 × 录取分中位数</t>
  </si>
  <si>
    <t>回答"我这基础有戏吗"</t>
  </si>
  <si>
    <t>字段 79,83,86</t>
  </si>
  <si>
    <t>命中率画像</t>
  </si>
  <si>
    <t>不同身份学员的命中率分布</t>
  </si>
  <si>
    <t>回答"像我这样的人命中率多少"</t>
  </si>
  <si>
    <t>字段 64-69,85</t>
  </si>
  <si>
    <t>学员相似度Top-N</t>
  </si>
  <si>
    <t>当前咨询学员与历史学员的相似度排序</t>
  </si>
  <si>
    <t>Agent 推荐核心算法</t>
  </si>
  <si>
    <t>全部学员画像字段</t>
  </si>
  <si>
    <t>录取竞争激烈度</t>
  </si>
  <si>
    <t>字段 21,22</t>
  </si>
  <si>
    <t>可立即算</t>
  </si>
  <si>
    <t>学员认知准确度</t>
  </si>
  <si>
    <t>字段 75,86</t>
  </si>
  <si>
    <t>隐性收益指数</t>
  </si>
  <si>
    <t>学位实际用途 × 整体回头看评分</t>
  </si>
  <si>
    <t>回答"这学位真有用吗"(依赖毕业反馈)</t>
  </si>
  <si>
    <t>字段 89,96(未来)</t>
  </si>
  <si>
    <t>毕业反馈层建好后</t>
  </si>
  <si>
    <t>服务体验稳定度</t>
  </si>
  <si>
    <t>同院校近 3 年评分标准差</t>
  </si>
  <si>
    <t>回答"今年还能报吗"(依赖毕业反馈)</t>
  </si>
  <si>
    <t>字段 88,96(未来)</t>
  </si>
  <si>
    <t>推荐传导率</t>
  </si>
  <si>
    <t>该院校学员转介绍数 / 学员总数</t>
  </si>
  <si>
    <t>反向验证学位价值(依赖毕业反馈)</t>
  </si>
  <si>
    <t>字段 86,94(未来)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</si>
</sst>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rgb="FFFFFFFF"/>
      <name val="Arial"/>
      <charset val="134"/>
    </font>
    <font>
      <i/>
      <sz val="9"/>
      <color rgb="FF808080"/>
      <name val="Arial"/>
      <charset val="134"/>
    </font>
    <font>
      <b/>
      <sz val="12"/>
      <color rgb="FF1F4E78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4"/>
      <color rgb="FFFFFFFF"/>
      <name val="宋体-简"/>
      <charset val="134"/>
    </font>
    <font>
      <b/>
      <sz val="14"/>
      <color rgb="FF1F4E7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7" fillId="0" borderId="0" xfId="0" applyFont="1"/>
    <xf numFmtId="0" fontId="5" fillId="0" borderId="0" xfId="0" applyFont="1"/>
    <xf numFmtId="0" fontId="3" fillId="7" borderId="0" xfId="0" applyFont="1" applyFill="1"/>
    <xf numFmtId="0" fontId="5" fillId="7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33" sqref="A33"/>
    </sheetView>
  </sheetViews>
  <sheetFormatPr defaultColWidth="9" defaultRowHeight="16.8" outlineLevelCol="1"/>
  <cols>
    <col min="1" max="1" width="60" customWidth="1"/>
    <col min="2" max="2" width="26" customWidth="1"/>
  </cols>
  <sheetData>
    <row r="1" ht="20.4" spans="1:2">
      <c r="A1" s="14" t="s">
        <v>0</v>
      </c>
      <c r="B1" s="15" t="s">
        <v>1</v>
      </c>
    </row>
    <row r="2" spans="1:2">
      <c r="A2" s="15" t="s">
        <v>1</v>
      </c>
      <c r="B2" s="15" t="s">
        <v>1</v>
      </c>
    </row>
    <row r="3" ht="17.6" spans="1:2">
      <c r="A3" s="3" t="s">
        <v>2</v>
      </c>
      <c r="B3" s="15" t="s">
        <v>1</v>
      </c>
    </row>
    <row r="4" spans="1:2">
      <c r="A4" s="15" t="s">
        <v>3</v>
      </c>
      <c r="B4" s="15" t="s">
        <v>1</v>
      </c>
    </row>
    <row r="5" spans="1:2">
      <c r="A5" s="15" t="s">
        <v>4</v>
      </c>
      <c r="B5" s="15" t="s">
        <v>1</v>
      </c>
    </row>
    <row r="6" spans="1:2">
      <c r="A6" s="15" t="s">
        <v>5</v>
      </c>
      <c r="B6" s="15" t="s">
        <v>1</v>
      </c>
    </row>
    <row r="7" spans="1:2">
      <c r="A7" s="15" t="s">
        <v>1</v>
      </c>
      <c r="B7" s="15" t="s">
        <v>1</v>
      </c>
    </row>
    <row r="8" ht="17.6" spans="1:2">
      <c r="A8" s="3" t="s">
        <v>6</v>
      </c>
      <c r="B8" s="15" t="s">
        <v>1</v>
      </c>
    </row>
    <row r="9" spans="1:2">
      <c r="A9" s="15" t="s">
        <v>7</v>
      </c>
      <c r="B9" s="15" t="s">
        <v>1</v>
      </c>
    </row>
    <row r="10" spans="1:2">
      <c r="A10" s="15" t="s">
        <v>8</v>
      </c>
      <c r="B10" s="15" t="s">
        <v>1</v>
      </c>
    </row>
    <row r="11" spans="1:2">
      <c r="A11" s="15" t="s">
        <v>9</v>
      </c>
      <c r="B11" s="15" t="s">
        <v>1</v>
      </c>
    </row>
    <row r="12" spans="1:2">
      <c r="A12" s="15" t="s">
        <v>10</v>
      </c>
      <c r="B12" s="15" t="s">
        <v>1</v>
      </c>
    </row>
    <row r="13" spans="1:2">
      <c r="A13" s="15" t="s">
        <v>1</v>
      </c>
      <c r="B13" s="15" t="s">
        <v>1</v>
      </c>
    </row>
    <row r="14" ht="17.6" spans="1:2">
      <c r="A14" s="16" t="s">
        <v>11</v>
      </c>
      <c r="B14" s="15" t="s">
        <v>1</v>
      </c>
    </row>
    <row r="15" spans="1:2">
      <c r="A15" s="17" t="s">
        <v>12</v>
      </c>
      <c r="B15" s="15" t="s">
        <v>1</v>
      </c>
    </row>
    <row r="16" spans="1:2">
      <c r="A16" s="17" t="s">
        <v>13</v>
      </c>
      <c r="B16" s="15" t="s">
        <v>1</v>
      </c>
    </row>
    <row r="17" spans="1:2">
      <c r="A17" s="17" t="s">
        <v>14</v>
      </c>
      <c r="B17" s="15" t="s">
        <v>1</v>
      </c>
    </row>
    <row r="18" spans="1:2">
      <c r="A18" s="17" t="s">
        <v>15</v>
      </c>
      <c r="B18" s="15" t="s">
        <v>1</v>
      </c>
    </row>
    <row r="19" spans="1:2">
      <c r="A19" s="17" t="s">
        <v>16</v>
      </c>
      <c r="B19" s="15" t="s">
        <v>1</v>
      </c>
    </row>
    <row r="20" spans="1:2">
      <c r="A20" s="15" t="s">
        <v>1</v>
      </c>
      <c r="B20" s="15" t="s">
        <v>1</v>
      </c>
    </row>
    <row r="21" ht="17.6" spans="1:2">
      <c r="A21" s="3" t="s">
        <v>17</v>
      </c>
      <c r="B21" s="15" t="s">
        <v>1</v>
      </c>
    </row>
    <row r="22" spans="1:2">
      <c r="A22" s="15" t="s">
        <v>18</v>
      </c>
      <c r="B22" s="15" t="s">
        <v>1</v>
      </c>
    </row>
    <row r="23" spans="1:2">
      <c r="A23" s="15" t="s">
        <v>1</v>
      </c>
      <c r="B23" s="15" t="s">
        <v>1</v>
      </c>
    </row>
    <row r="24" ht="17.6" spans="1:2">
      <c r="A24" s="3" t="s">
        <v>19</v>
      </c>
      <c r="B24" s="15" t="s">
        <v>1</v>
      </c>
    </row>
    <row r="25" spans="1:2">
      <c r="A25" s="15" t="s">
        <v>20</v>
      </c>
      <c r="B25" s="15" t="s">
        <v>1</v>
      </c>
    </row>
    <row r="26" spans="1:2">
      <c r="A26" s="15" t="s">
        <v>21</v>
      </c>
      <c r="B26" s="15" t="s">
        <v>1</v>
      </c>
    </row>
    <row r="27" spans="1:2">
      <c r="A27" s="15" t="s">
        <v>22</v>
      </c>
      <c r="B27" s="15" t="s">
        <v>1</v>
      </c>
    </row>
    <row r="28" spans="1:2">
      <c r="A28" s="15" t="s">
        <v>1</v>
      </c>
      <c r="B28" s="15" t="s">
        <v>1</v>
      </c>
    </row>
    <row r="29" ht="17.6" spans="1:2">
      <c r="A29" s="3" t="s">
        <v>23</v>
      </c>
      <c r="B29" s="15" t="s">
        <v>1</v>
      </c>
    </row>
    <row r="30" spans="1:2">
      <c r="A30" s="15" t="s">
        <v>24</v>
      </c>
      <c r="B30" s="15" t="s">
        <v>1</v>
      </c>
    </row>
    <row r="31" spans="1:2">
      <c r="A31" s="15" t="s">
        <v>25</v>
      </c>
      <c r="B31" s="15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workbookViewId="0">
      <pane ySplit="3" topLeftCell="A35" activePane="bottomLeft" state="frozen"/>
      <selection/>
      <selection pane="bottomLeft" activeCell="B46" sqref="B46"/>
    </sheetView>
  </sheetViews>
  <sheetFormatPr defaultColWidth="9" defaultRowHeight="16.8"/>
  <cols>
    <col min="1" max="1" width="6" customWidth="1"/>
    <col min="2" max="2" width="22" customWidth="1"/>
    <col min="3" max="3" width="16" customWidth="1"/>
    <col min="4" max="4" width="12" customWidth="1"/>
    <col min="5" max="5" width="18" customWidth="1"/>
    <col min="6" max="6" width="9" customWidth="1"/>
    <col min="7" max="7" width="38" customWidth="1"/>
    <col min="8" max="8" width="10" customWidth="1"/>
    <col min="9" max="9" width="14" customWidth="1"/>
    <col min="10" max="10" width="22" customWidth="1"/>
  </cols>
  <sheetData>
    <row r="1" ht="28" customHeight="1" spans="1:1">
      <c r="A1" s="13" t="s">
        <v>26</v>
      </c>
    </row>
    <row r="2" spans="1:1">
      <c r="A2" s="2" t="s">
        <v>27</v>
      </c>
    </row>
    <row r="3" ht="22" customHeight="1" spans="1:10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</row>
    <row r="4" ht="22" customHeight="1" spans="1:1">
      <c r="A4" s="11" t="s">
        <v>38</v>
      </c>
    </row>
    <row r="5" spans="1:10">
      <c r="A5" s="12">
        <v>2</v>
      </c>
      <c r="B5" s="12" t="s">
        <v>39</v>
      </c>
      <c r="C5" s="12" t="s">
        <v>40</v>
      </c>
      <c r="D5" s="12" t="s">
        <v>41</v>
      </c>
      <c r="E5" s="12" t="s">
        <v>42</v>
      </c>
      <c r="F5" s="7" t="s">
        <v>43</v>
      </c>
      <c r="G5" s="12" t="s">
        <v>44</v>
      </c>
      <c r="H5" s="12" t="s">
        <v>1</v>
      </c>
      <c r="I5" s="12" t="s">
        <v>1</v>
      </c>
      <c r="J5" s="12" t="s">
        <v>1</v>
      </c>
    </row>
    <row r="6" spans="1:10">
      <c r="A6" s="12">
        <v>3</v>
      </c>
      <c r="B6" s="12" t="s">
        <v>45</v>
      </c>
      <c r="C6" s="12" t="s">
        <v>40</v>
      </c>
      <c r="D6" s="12" t="s">
        <v>41</v>
      </c>
      <c r="E6" s="12" t="s">
        <v>42</v>
      </c>
      <c r="F6" s="7" t="s">
        <v>43</v>
      </c>
      <c r="G6" s="12" t="s">
        <v>46</v>
      </c>
      <c r="H6" s="12" t="s">
        <v>1</v>
      </c>
      <c r="I6" s="12" t="s">
        <v>1</v>
      </c>
      <c r="J6" s="12" t="s">
        <v>1</v>
      </c>
    </row>
    <row r="7" spans="1:10">
      <c r="A7" s="5">
        <v>4</v>
      </c>
      <c r="B7" s="5" t="s">
        <v>47</v>
      </c>
      <c r="C7" s="5" t="s">
        <v>48</v>
      </c>
      <c r="D7" s="5" t="s">
        <v>41</v>
      </c>
      <c r="E7" s="5" t="s">
        <v>42</v>
      </c>
      <c r="F7" s="7" t="s">
        <v>43</v>
      </c>
      <c r="G7" s="5" t="s">
        <v>49</v>
      </c>
      <c r="H7" s="5" t="s">
        <v>1</v>
      </c>
      <c r="I7" s="5" t="s">
        <v>1</v>
      </c>
      <c r="J7" s="5" t="s">
        <v>1</v>
      </c>
    </row>
    <row r="8" spans="1:10">
      <c r="A8" s="12">
        <v>5</v>
      </c>
      <c r="B8" s="12" t="s">
        <v>50</v>
      </c>
      <c r="C8" s="12" t="s">
        <v>40</v>
      </c>
      <c r="D8" s="12" t="s">
        <v>41</v>
      </c>
      <c r="E8" s="12" t="s">
        <v>42</v>
      </c>
      <c r="F8" s="7" t="s">
        <v>43</v>
      </c>
      <c r="G8" s="12" t="s">
        <v>51</v>
      </c>
      <c r="H8" s="12" t="s">
        <v>1</v>
      </c>
      <c r="I8" s="12" t="s">
        <v>1</v>
      </c>
      <c r="J8" s="12" t="s">
        <v>1</v>
      </c>
    </row>
    <row r="9" spans="1:10">
      <c r="A9" s="12">
        <v>6</v>
      </c>
      <c r="B9" s="12" t="s">
        <v>52</v>
      </c>
      <c r="C9" s="12" t="s">
        <v>48</v>
      </c>
      <c r="D9" s="12" t="s">
        <v>41</v>
      </c>
      <c r="E9" s="12" t="s">
        <v>53</v>
      </c>
      <c r="F9" s="7" t="s">
        <v>43</v>
      </c>
      <c r="G9" s="12" t="s">
        <v>54</v>
      </c>
      <c r="H9" s="12" t="s">
        <v>1</v>
      </c>
      <c r="I9" s="12" t="s">
        <v>1</v>
      </c>
      <c r="J9" s="12" t="s">
        <v>1</v>
      </c>
    </row>
    <row r="10" spans="1:10">
      <c r="A10" s="5">
        <v>7</v>
      </c>
      <c r="B10" s="5" t="s">
        <v>55</v>
      </c>
      <c r="C10" s="5" t="s">
        <v>48</v>
      </c>
      <c r="D10" s="5" t="s">
        <v>41</v>
      </c>
      <c r="E10" s="5" t="s">
        <v>42</v>
      </c>
      <c r="F10" s="8" t="s">
        <v>56</v>
      </c>
      <c r="G10" s="5" t="s">
        <v>57</v>
      </c>
      <c r="H10" s="5" t="s">
        <v>1</v>
      </c>
      <c r="I10" s="5" t="s">
        <v>1</v>
      </c>
      <c r="J10" s="5" t="s">
        <v>1</v>
      </c>
    </row>
    <row r="11" spans="1:10">
      <c r="A11" s="12">
        <v>8</v>
      </c>
      <c r="B11" s="12" t="s">
        <v>58</v>
      </c>
      <c r="C11" s="12" t="s">
        <v>59</v>
      </c>
      <c r="D11" s="12" t="s">
        <v>60</v>
      </c>
      <c r="E11" s="12" t="s">
        <v>61</v>
      </c>
      <c r="F11" s="7" t="s">
        <v>43</v>
      </c>
      <c r="G11" s="12" t="s">
        <v>62</v>
      </c>
      <c r="H11" s="12" t="s">
        <v>1</v>
      </c>
      <c r="I11" s="12" t="s">
        <v>1</v>
      </c>
      <c r="J11" s="12" t="s">
        <v>1</v>
      </c>
    </row>
    <row r="12" spans="1:10">
      <c r="A12" s="12">
        <v>9</v>
      </c>
      <c r="B12" s="12" t="s">
        <v>63</v>
      </c>
      <c r="C12" s="12" t="s">
        <v>40</v>
      </c>
      <c r="D12" s="12" t="s">
        <v>41</v>
      </c>
      <c r="E12" s="12" t="s">
        <v>42</v>
      </c>
      <c r="F12" s="7" t="s">
        <v>43</v>
      </c>
      <c r="G12" s="12" t="s">
        <v>64</v>
      </c>
      <c r="H12" s="12" t="s">
        <v>1</v>
      </c>
      <c r="I12" s="12" t="s">
        <v>1</v>
      </c>
      <c r="J12" s="12" t="s">
        <v>1</v>
      </c>
    </row>
    <row r="13" ht="31" spans="1:10">
      <c r="A13" s="12">
        <v>10</v>
      </c>
      <c r="B13" s="12" t="s">
        <v>65</v>
      </c>
      <c r="C13" s="12" t="s">
        <v>48</v>
      </c>
      <c r="D13" s="12" t="s">
        <v>41</v>
      </c>
      <c r="E13" s="12" t="s">
        <v>42</v>
      </c>
      <c r="F13" s="7" t="s">
        <v>43</v>
      </c>
      <c r="G13" s="12" t="s">
        <v>66</v>
      </c>
      <c r="H13" s="12" t="s">
        <v>1</v>
      </c>
      <c r="I13" s="12" t="s">
        <v>1</v>
      </c>
      <c r="J13" s="12" t="s">
        <v>1</v>
      </c>
    </row>
    <row r="14" spans="1:10">
      <c r="A14" s="12">
        <v>11</v>
      </c>
      <c r="B14" s="12" t="s">
        <v>67</v>
      </c>
      <c r="C14" s="12" t="s">
        <v>48</v>
      </c>
      <c r="D14" s="12" t="s">
        <v>41</v>
      </c>
      <c r="E14" s="12" t="s">
        <v>53</v>
      </c>
      <c r="F14" s="7" t="s">
        <v>43</v>
      </c>
      <c r="G14" s="12" t="s">
        <v>68</v>
      </c>
      <c r="H14" s="12" t="s">
        <v>1</v>
      </c>
      <c r="I14" s="12" t="s">
        <v>1</v>
      </c>
      <c r="J14" s="12" t="s">
        <v>1</v>
      </c>
    </row>
    <row r="15" ht="31" spans="1:10">
      <c r="A15" s="12">
        <v>12</v>
      </c>
      <c r="B15" s="12" t="s">
        <v>69</v>
      </c>
      <c r="C15" s="12" t="s">
        <v>70</v>
      </c>
      <c r="D15" s="12" t="s">
        <v>41</v>
      </c>
      <c r="E15" s="12" t="s">
        <v>42</v>
      </c>
      <c r="F15" s="7" t="s">
        <v>43</v>
      </c>
      <c r="G15" s="12" t="s">
        <v>71</v>
      </c>
      <c r="H15" s="12" t="s">
        <v>1</v>
      </c>
      <c r="I15" s="12" t="s">
        <v>1</v>
      </c>
      <c r="J15" s="12" t="s">
        <v>1</v>
      </c>
    </row>
    <row r="16" spans="1:10">
      <c r="A16" s="5">
        <v>13</v>
      </c>
      <c r="B16" s="5" t="s">
        <v>72</v>
      </c>
      <c r="C16" s="5" t="s">
        <v>73</v>
      </c>
      <c r="D16" s="5" t="s">
        <v>41</v>
      </c>
      <c r="E16" s="5" t="s">
        <v>42</v>
      </c>
      <c r="F16" s="8" t="s">
        <v>56</v>
      </c>
      <c r="G16" s="5" t="s">
        <v>74</v>
      </c>
      <c r="H16" s="5" t="s">
        <v>1</v>
      </c>
      <c r="I16" s="5" t="s">
        <v>1</v>
      </c>
      <c r="J16" s="5" t="s">
        <v>1</v>
      </c>
    </row>
    <row r="17" spans="1:10">
      <c r="A17" s="12">
        <v>14</v>
      </c>
      <c r="B17" s="12" t="s">
        <v>75</v>
      </c>
      <c r="C17" s="12" t="s">
        <v>48</v>
      </c>
      <c r="D17" s="12" t="s">
        <v>41</v>
      </c>
      <c r="E17" s="12" t="s">
        <v>42</v>
      </c>
      <c r="F17" s="7" t="s">
        <v>43</v>
      </c>
      <c r="G17" s="12" t="s">
        <v>76</v>
      </c>
      <c r="H17" s="12" t="s">
        <v>1</v>
      </c>
      <c r="I17" s="12" t="s">
        <v>1</v>
      </c>
      <c r="J17" s="12" t="s">
        <v>1</v>
      </c>
    </row>
    <row r="18" spans="1:10">
      <c r="A18" s="12">
        <v>15</v>
      </c>
      <c r="B18" s="12" t="s">
        <v>77</v>
      </c>
      <c r="C18" s="12" t="s">
        <v>70</v>
      </c>
      <c r="D18" s="12" t="s">
        <v>41</v>
      </c>
      <c r="E18" s="12" t="s">
        <v>78</v>
      </c>
      <c r="F18" s="7" t="s">
        <v>43</v>
      </c>
      <c r="G18" s="12" t="s">
        <v>79</v>
      </c>
      <c r="H18" s="12" t="s">
        <v>1</v>
      </c>
      <c r="I18" s="12" t="s">
        <v>1</v>
      </c>
      <c r="J18" s="12" t="s">
        <v>1</v>
      </c>
    </row>
    <row r="19" spans="1:10">
      <c r="A19" s="5">
        <v>18</v>
      </c>
      <c r="B19" s="5" t="s">
        <v>80</v>
      </c>
      <c r="C19" s="5" t="s">
        <v>40</v>
      </c>
      <c r="D19" s="5" t="s">
        <v>41</v>
      </c>
      <c r="E19" s="5" t="s">
        <v>42</v>
      </c>
      <c r="F19" s="8" t="s">
        <v>56</v>
      </c>
      <c r="G19" s="5" t="s">
        <v>81</v>
      </c>
      <c r="H19" s="5" t="s">
        <v>1</v>
      </c>
      <c r="I19" s="5" t="s">
        <v>1</v>
      </c>
      <c r="J19" s="5" t="s">
        <v>1</v>
      </c>
    </row>
    <row r="21" ht="22" customHeight="1" spans="1:1">
      <c r="A21" s="11" t="s">
        <v>82</v>
      </c>
    </row>
    <row r="22" spans="1:10">
      <c r="A22" s="5">
        <v>19</v>
      </c>
      <c r="B22" s="5" t="s">
        <v>83</v>
      </c>
      <c r="C22" s="5" t="s">
        <v>73</v>
      </c>
      <c r="D22" s="5" t="s">
        <v>84</v>
      </c>
      <c r="E22" s="5" t="s">
        <v>84</v>
      </c>
      <c r="F22" s="7" t="s">
        <v>43</v>
      </c>
      <c r="G22" s="5" t="s">
        <v>85</v>
      </c>
      <c r="H22" s="5" t="s">
        <v>1</v>
      </c>
      <c r="I22" s="5" t="s">
        <v>1</v>
      </c>
      <c r="J22" s="5" t="s">
        <v>1</v>
      </c>
    </row>
    <row r="23" spans="1:10">
      <c r="A23" s="12">
        <v>20</v>
      </c>
      <c r="B23" s="12" t="s">
        <v>86</v>
      </c>
      <c r="C23" s="12" t="s">
        <v>73</v>
      </c>
      <c r="D23" s="12" t="s">
        <v>41</v>
      </c>
      <c r="E23" s="12" t="s">
        <v>42</v>
      </c>
      <c r="F23" s="7" t="s">
        <v>43</v>
      </c>
      <c r="G23" s="12" t="s">
        <v>87</v>
      </c>
      <c r="H23" s="12" t="s">
        <v>1</v>
      </c>
      <c r="I23" s="12" t="s">
        <v>1</v>
      </c>
      <c r="J23" s="12" t="s">
        <v>1</v>
      </c>
    </row>
    <row r="24" spans="1:10">
      <c r="A24" s="5">
        <v>21</v>
      </c>
      <c r="B24" s="5" t="s">
        <v>88</v>
      </c>
      <c r="C24" s="5" t="s">
        <v>73</v>
      </c>
      <c r="D24" s="5" t="s">
        <v>89</v>
      </c>
      <c r="E24" s="5" t="s">
        <v>53</v>
      </c>
      <c r="F24" s="8" t="s">
        <v>56</v>
      </c>
      <c r="G24" s="5" t="s">
        <v>90</v>
      </c>
      <c r="H24" s="5" t="s">
        <v>1</v>
      </c>
      <c r="I24" s="5" t="s">
        <v>1</v>
      </c>
      <c r="J24" s="5" t="s">
        <v>1</v>
      </c>
    </row>
    <row r="25" spans="1:10">
      <c r="A25" s="12">
        <v>22</v>
      </c>
      <c r="B25" s="12" t="s">
        <v>91</v>
      </c>
      <c r="C25" s="12" t="s">
        <v>73</v>
      </c>
      <c r="D25" s="12" t="s">
        <v>89</v>
      </c>
      <c r="E25" s="12" t="s">
        <v>53</v>
      </c>
      <c r="F25" s="7" t="s">
        <v>43</v>
      </c>
      <c r="G25" s="12" t="s">
        <v>92</v>
      </c>
      <c r="H25" s="12" t="s">
        <v>1</v>
      </c>
      <c r="I25" s="12" t="s">
        <v>1</v>
      </c>
      <c r="J25" s="12" t="s">
        <v>1</v>
      </c>
    </row>
    <row r="26" spans="1:10">
      <c r="A26" s="5">
        <v>23</v>
      </c>
      <c r="B26" s="5" t="s">
        <v>93</v>
      </c>
      <c r="C26" s="5" t="s">
        <v>73</v>
      </c>
      <c r="D26" s="5" t="s">
        <v>84</v>
      </c>
      <c r="E26" s="5" t="s">
        <v>94</v>
      </c>
      <c r="F26" s="9" t="s">
        <v>95</v>
      </c>
      <c r="G26" s="5" t="e">
        <f>报名数/录取数(派生层处理)</f>
        <v>#NAME?</v>
      </c>
      <c r="H26" s="5" t="s">
        <v>1</v>
      </c>
      <c r="I26" s="5" t="s">
        <v>1</v>
      </c>
      <c r="J26" s="5" t="s">
        <v>1</v>
      </c>
    </row>
    <row r="27" spans="1:10">
      <c r="A27" s="12">
        <v>24</v>
      </c>
      <c r="B27" s="12" t="s">
        <v>96</v>
      </c>
      <c r="C27" s="12" t="s">
        <v>73</v>
      </c>
      <c r="D27" s="12" t="s">
        <v>41</v>
      </c>
      <c r="E27" s="12" t="s">
        <v>42</v>
      </c>
      <c r="F27" s="7" t="s">
        <v>43</v>
      </c>
      <c r="G27" s="12" t="s">
        <v>97</v>
      </c>
      <c r="H27" s="12" t="s">
        <v>1</v>
      </c>
      <c r="I27" s="12" t="s">
        <v>1</v>
      </c>
      <c r="J27" s="12" t="s">
        <v>1</v>
      </c>
    </row>
    <row r="28" spans="1:10">
      <c r="A28" s="5">
        <v>25</v>
      </c>
      <c r="B28" s="5" t="s">
        <v>98</v>
      </c>
      <c r="C28" s="5" t="s">
        <v>73</v>
      </c>
      <c r="D28" s="5" t="s">
        <v>41</v>
      </c>
      <c r="E28" s="5" t="s">
        <v>42</v>
      </c>
      <c r="F28" s="8" t="s">
        <v>56</v>
      </c>
      <c r="G28" s="5" t="s">
        <v>99</v>
      </c>
      <c r="H28" s="5" t="s">
        <v>1</v>
      </c>
      <c r="I28" s="5" t="s">
        <v>1</v>
      </c>
      <c r="J28" s="5" t="s">
        <v>1</v>
      </c>
    </row>
    <row r="29" spans="1:10">
      <c r="A29" s="5">
        <v>26</v>
      </c>
      <c r="B29" s="5" t="s">
        <v>100</v>
      </c>
      <c r="C29" s="5" t="s">
        <v>73</v>
      </c>
      <c r="D29" s="5" t="s">
        <v>41</v>
      </c>
      <c r="E29" s="5" t="s">
        <v>42</v>
      </c>
      <c r="F29" s="8" t="s">
        <v>56</v>
      </c>
      <c r="G29" s="5" t="s">
        <v>101</v>
      </c>
      <c r="H29" s="5" t="s">
        <v>1</v>
      </c>
      <c r="I29" s="5" t="s">
        <v>1</v>
      </c>
      <c r="J29" s="5" t="s">
        <v>1</v>
      </c>
    </row>
    <row r="30" spans="1:10">
      <c r="A30" s="12">
        <v>27</v>
      </c>
      <c r="B30" s="12" t="s">
        <v>102</v>
      </c>
      <c r="C30" s="12" t="s">
        <v>73</v>
      </c>
      <c r="D30" s="12" t="s">
        <v>89</v>
      </c>
      <c r="E30" s="12" t="s">
        <v>103</v>
      </c>
      <c r="F30" s="7" t="s">
        <v>43</v>
      </c>
      <c r="G30" s="12" t="s">
        <v>104</v>
      </c>
      <c r="H30" s="12" t="s">
        <v>1</v>
      </c>
      <c r="I30" s="12" t="s">
        <v>1</v>
      </c>
      <c r="J30" s="12" t="s">
        <v>1</v>
      </c>
    </row>
    <row r="31" spans="1:10">
      <c r="A31" s="12">
        <v>29</v>
      </c>
      <c r="B31" s="12" t="s">
        <v>105</v>
      </c>
      <c r="C31" s="12" t="s">
        <v>73</v>
      </c>
      <c r="D31" s="12" t="s">
        <v>41</v>
      </c>
      <c r="E31" s="12" t="s">
        <v>42</v>
      </c>
      <c r="F31" s="7" t="s">
        <v>43</v>
      </c>
      <c r="G31" s="12" t="s">
        <v>106</v>
      </c>
      <c r="H31" s="12" t="s">
        <v>1</v>
      </c>
      <c r="I31" s="12" t="s">
        <v>1</v>
      </c>
      <c r="J31" s="12" t="s">
        <v>1</v>
      </c>
    </row>
    <row r="32" spans="1:10">
      <c r="A32" s="5">
        <v>30</v>
      </c>
      <c r="B32" s="5" t="s">
        <v>107</v>
      </c>
      <c r="C32" s="5" t="s">
        <v>48</v>
      </c>
      <c r="D32" s="5" t="s">
        <v>41</v>
      </c>
      <c r="E32" s="5" t="s">
        <v>53</v>
      </c>
      <c r="F32" s="8" t="s">
        <v>56</v>
      </c>
      <c r="G32" s="5" t="s">
        <v>108</v>
      </c>
      <c r="H32" s="5" t="s">
        <v>1</v>
      </c>
      <c r="I32" s="5" t="s">
        <v>1</v>
      </c>
      <c r="J32" s="5" t="s">
        <v>1</v>
      </c>
    </row>
    <row r="33" spans="1:10">
      <c r="A33" s="5">
        <v>32</v>
      </c>
      <c r="B33" s="5" t="s">
        <v>109</v>
      </c>
      <c r="C33" s="5" t="s">
        <v>48</v>
      </c>
      <c r="D33" s="5" t="s">
        <v>41</v>
      </c>
      <c r="E33" s="5" t="s">
        <v>53</v>
      </c>
      <c r="F33" s="8" t="s">
        <v>56</v>
      </c>
      <c r="G33" s="5" t="s">
        <v>110</v>
      </c>
      <c r="H33" s="5" t="s">
        <v>1</v>
      </c>
      <c r="I33" s="5" t="s">
        <v>1</v>
      </c>
      <c r="J33" s="5" t="s">
        <v>1</v>
      </c>
    </row>
    <row r="34" spans="1:10">
      <c r="A34" s="5">
        <v>33</v>
      </c>
      <c r="B34" s="5" t="s">
        <v>111</v>
      </c>
      <c r="C34" s="5" t="s">
        <v>40</v>
      </c>
      <c r="D34" s="5" t="s">
        <v>89</v>
      </c>
      <c r="E34" s="5" t="s">
        <v>103</v>
      </c>
      <c r="F34" s="8" t="s">
        <v>56</v>
      </c>
      <c r="G34" s="5" t="s">
        <v>112</v>
      </c>
      <c r="H34" s="5" t="s">
        <v>1</v>
      </c>
      <c r="I34" s="5" t="s">
        <v>1</v>
      </c>
      <c r="J34" s="5" t="s">
        <v>1</v>
      </c>
    </row>
    <row r="36" ht="22" customHeight="1" spans="1:1">
      <c r="A36" s="11" t="s">
        <v>113</v>
      </c>
    </row>
    <row r="37" spans="1:10">
      <c r="A37" s="12">
        <v>37</v>
      </c>
      <c r="B37" s="12" t="s">
        <v>114</v>
      </c>
      <c r="C37" s="12" t="s">
        <v>115</v>
      </c>
      <c r="D37" s="12" t="s">
        <v>41</v>
      </c>
      <c r="E37" s="12" t="s">
        <v>42</v>
      </c>
      <c r="F37" s="7" t="s">
        <v>43</v>
      </c>
      <c r="G37" s="12" t="s">
        <v>116</v>
      </c>
      <c r="H37" s="12" t="s">
        <v>1</v>
      </c>
      <c r="I37" s="12" t="s">
        <v>1</v>
      </c>
      <c r="J37" s="12" t="s">
        <v>1</v>
      </c>
    </row>
    <row r="38" spans="1:10">
      <c r="A38" s="5">
        <v>38</v>
      </c>
      <c r="B38" s="5" t="s">
        <v>117</v>
      </c>
      <c r="C38" s="5" t="s">
        <v>115</v>
      </c>
      <c r="D38" s="5" t="s">
        <v>41</v>
      </c>
      <c r="E38" s="5" t="s">
        <v>42</v>
      </c>
      <c r="F38" s="8" t="s">
        <v>56</v>
      </c>
      <c r="G38" s="5" t="s">
        <v>118</v>
      </c>
      <c r="H38" s="5" t="s">
        <v>1</v>
      </c>
      <c r="I38" s="5" t="s">
        <v>1</v>
      </c>
      <c r="J38" s="5" t="s">
        <v>1</v>
      </c>
    </row>
    <row r="39" spans="1:10">
      <c r="A39" s="12">
        <v>39</v>
      </c>
      <c r="B39" s="12" t="s">
        <v>119</v>
      </c>
      <c r="C39" s="12" t="s">
        <v>115</v>
      </c>
      <c r="D39" s="12" t="s">
        <v>41</v>
      </c>
      <c r="E39" s="12" t="s">
        <v>42</v>
      </c>
      <c r="F39" s="7" t="s">
        <v>43</v>
      </c>
      <c r="G39" s="12" t="s">
        <v>120</v>
      </c>
      <c r="H39" s="12" t="s">
        <v>1</v>
      </c>
      <c r="I39" s="12" t="s">
        <v>1</v>
      </c>
      <c r="J39" s="12" t="s">
        <v>1</v>
      </c>
    </row>
    <row r="40" spans="1:10">
      <c r="A40" s="12">
        <v>40</v>
      </c>
      <c r="B40" s="12" t="s">
        <v>121</v>
      </c>
      <c r="C40" s="12" t="s">
        <v>122</v>
      </c>
      <c r="D40" s="12" t="s">
        <v>41</v>
      </c>
      <c r="E40" s="12" t="s">
        <v>42</v>
      </c>
      <c r="F40" s="7" t="s">
        <v>43</v>
      </c>
      <c r="G40" s="12" t="s">
        <v>123</v>
      </c>
      <c r="H40" s="12" t="s">
        <v>1</v>
      </c>
      <c r="I40" s="12" t="s">
        <v>1</v>
      </c>
      <c r="J40" s="12" t="s">
        <v>1</v>
      </c>
    </row>
    <row r="41" spans="1:10">
      <c r="A41" s="5">
        <v>41</v>
      </c>
      <c r="B41" s="5" t="s">
        <v>124</v>
      </c>
      <c r="C41" s="5" t="s">
        <v>115</v>
      </c>
      <c r="D41" s="5" t="s">
        <v>41</v>
      </c>
      <c r="E41" s="5" t="s">
        <v>42</v>
      </c>
      <c r="F41" s="9" t="s">
        <v>95</v>
      </c>
      <c r="G41" s="5" t="s">
        <v>125</v>
      </c>
      <c r="H41" s="5" t="s">
        <v>1</v>
      </c>
      <c r="I41" s="5" t="s">
        <v>1</v>
      </c>
      <c r="J41" s="5" t="s">
        <v>1</v>
      </c>
    </row>
    <row r="43" ht="22" customHeight="1" spans="1:1">
      <c r="A43" s="11" t="s">
        <v>126</v>
      </c>
    </row>
    <row r="44" ht="31" spans="1:10">
      <c r="A44" s="5">
        <v>42</v>
      </c>
      <c r="B44" s="5" t="s">
        <v>127</v>
      </c>
      <c r="C44" s="5" t="s">
        <v>73</v>
      </c>
      <c r="D44" s="5" t="s">
        <v>128</v>
      </c>
      <c r="E44" s="5" t="s">
        <v>78</v>
      </c>
      <c r="F44" s="8" t="s">
        <v>56</v>
      </c>
      <c r="G44" s="5" t="s">
        <v>129</v>
      </c>
      <c r="H44" s="5" t="s">
        <v>1</v>
      </c>
      <c r="I44" s="5" t="s">
        <v>1</v>
      </c>
      <c r="J44" s="5" t="s">
        <v>1</v>
      </c>
    </row>
    <row r="45" ht="31" spans="1:10">
      <c r="A45" s="12">
        <v>43</v>
      </c>
      <c r="B45" s="12" t="s">
        <v>130</v>
      </c>
      <c r="C45" s="12" t="s">
        <v>131</v>
      </c>
      <c r="D45" s="12" t="s">
        <v>128</v>
      </c>
      <c r="E45" s="12" t="s">
        <v>78</v>
      </c>
      <c r="F45" s="7" t="s">
        <v>43</v>
      </c>
      <c r="G45" s="12" t="s">
        <v>132</v>
      </c>
      <c r="H45" s="12" t="s">
        <v>1</v>
      </c>
      <c r="I45" s="12" t="s">
        <v>1</v>
      </c>
      <c r="J45" s="12" t="s">
        <v>1</v>
      </c>
    </row>
    <row r="46" ht="31" spans="1:10">
      <c r="A46" s="5">
        <v>44</v>
      </c>
      <c r="B46" s="5" t="s">
        <v>133</v>
      </c>
      <c r="C46" s="5" t="s">
        <v>134</v>
      </c>
      <c r="D46" s="5" t="s">
        <v>128</v>
      </c>
      <c r="E46" s="5" t="s">
        <v>53</v>
      </c>
      <c r="F46" s="8" t="s">
        <v>56</v>
      </c>
      <c r="G46" s="5" t="s">
        <v>135</v>
      </c>
      <c r="H46" s="5" t="s">
        <v>1</v>
      </c>
      <c r="I46" s="5" t="s">
        <v>1</v>
      </c>
      <c r="J46" s="5" t="s">
        <v>1</v>
      </c>
    </row>
    <row r="47" ht="31" spans="1:10">
      <c r="A47" s="5">
        <v>45</v>
      </c>
      <c r="B47" s="5" t="s">
        <v>136</v>
      </c>
      <c r="C47" s="5" t="s">
        <v>134</v>
      </c>
      <c r="D47" s="5" t="s">
        <v>128</v>
      </c>
      <c r="E47" s="5" t="s">
        <v>53</v>
      </c>
      <c r="F47" s="8" t="s">
        <v>56</v>
      </c>
      <c r="G47" s="5" t="s">
        <v>137</v>
      </c>
      <c r="H47" s="5" t="s">
        <v>1</v>
      </c>
      <c r="I47" s="5" t="s">
        <v>1</v>
      </c>
      <c r="J47" s="5" t="s">
        <v>1</v>
      </c>
    </row>
    <row r="48" ht="31" spans="1:10">
      <c r="A48" s="12">
        <v>46</v>
      </c>
      <c r="B48" s="12" t="s">
        <v>138</v>
      </c>
      <c r="C48" s="12" t="s">
        <v>48</v>
      </c>
      <c r="D48" s="12" t="s">
        <v>128</v>
      </c>
      <c r="E48" s="12" t="s">
        <v>139</v>
      </c>
      <c r="F48" s="7" t="s">
        <v>43</v>
      </c>
      <c r="G48" s="12" t="s">
        <v>140</v>
      </c>
      <c r="H48" s="12" t="s">
        <v>1</v>
      </c>
      <c r="I48" s="12" t="s">
        <v>1</v>
      </c>
      <c r="J48" s="12" t="s">
        <v>1</v>
      </c>
    </row>
    <row r="49" spans="1:10">
      <c r="A49" s="5">
        <v>47</v>
      </c>
      <c r="B49" s="5" t="s">
        <v>141</v>
      </c>
      <c r="C49" s="5" t="s">
        <v>48</v>
      </c>
      <c r="D49" s="5" t="s">
        <v>139</v>
      </c>
      <c r="E49" s="5" t="s">
        <v>139</v>
      </c>
      <c r="F49" s="8" t="s">
        <v>56</v>
      </c>
      <c r="G49" s="5" t="s">
        <v>142</v>
      </c>
      <c r="H49" s="5" t="s">
        <v>1</v>
      </c>
      <c r="I49" s="5" t="s">
        <v>1</v>
      </c>
      <c r="J49" s="5" t="s">
        <v>1</v>
      </c>
    </row>
    <row r="50" spans="1:10">
      <c r="A50" s="5">
        <v>50</v>
      </c>
      <c r="B50" s="5" t="s">
        <v>143</v>
      </c>
      <c r="C50" s="5" t="s">
        <v>131</v>
      </c>
      <c r="D50" s="5" t="s">
        <v>41</v>
      </c>
      <c r="E50" s="5" t="s">
        <v>53</v>
      </c>
      <c r="F50" s="9" t="s">
        <v>95</v>
      </c>
      <c r="G50" s="5" t="s">
        <v>144</v>
      </c>
      <c r="H50" s="5" t="s">
        <v>1</v>
      </c>
      <c r="I50" s="5" t="s">
        <v>1</v>
      </c>
      <c r="J50" s="5" t="s">
        <v>1</v>
      </c>
    </row>
    <row r="51" spans="1:10">
      <c r="A51" s="5">
        <v>52</v>
      </c>
      <c r="B51" s="5" t="s">
        <v>145</v>
      </c>
      <c r="C51" s="5" t="s">
        <v>48</v>
      </c>
      <c r="D51" s="5" t="s">
        <v>41</v>
      </c>
      <c r="E51" s="5" t="s">
        <v>53</v>
      </c>
      <c r="F51" s="8" t="s">
        <v>56</v>
      </c>
      <c r="G51" s="5" t="s">
        <v>146</v>
      </c>
      <c r="H51" s="5" t="s">
        <v>1</v>
      </c>
      <c r="I51" s="5" t="s">
        <v>1</v>
      </c>
      <c r="J51" s="5" t="s">
        <v>1</v>
      </c>
    </row>
    <row r="52" spans="1:10">
      <c r="A52" s="12">
        <v>53</v>
      </c>
      <c r="B52" s="12" t="s">
        <v>147</v>
      </c>
      <c r="C52" s="12" t="s">
        <v>48</v>
      </c>
      <c r="D52" s="12" t="s">
        <v>139</v>
      </c>
      <c r="E52" s="12" t="s">
        <v>139</v>
      </c>
      <c r="F52" s="7" t="s">
        <v>43</v>
      </c>
      <c r="G52" s="12" t="s">
        <v>148</v>
      </c>
      <c r="H52" s="12" t="s">
        <v>1</v>
      </c>
      <c r="I52" s="12" t="s">
        <v>1</v>
      </c>
      <c r="J52" s="12" t="s">
        <v>1</v>
      </c>
    </row>
    <row r="54" ht="22" customHeight="1" spans="1:1">
      <c r="A54" s="11" t="s">
        <v>149</v>
      </c>
    </row>
    <row r="55" spans="1:10">
      <c r="A55" s="12">
        <v>54</v>
      </c>
      <c r="B55" s="12" t="s">
        <v>150</v>
      </c>
      <c r="C55" s="12" t="s">
        <v>131</v>
      </c>
      <c r="D55" s="12" t="s">
        <v>41</v>
      </c>
      <c r="E55" s="12" t="s">
        <v>42</v>
      </c>
      <c r="F55" s="7" t="s">
        <v>43</v>
      </c>
      <c r="G55" s="12" t="s">
        <v>151</v>
      </c>
      <c r="H55" s="12" t="s">
        <v>1</v>
      </c>
      <c r="I55" s="12" t="s">
        <v>1</v>
      </c>
      <c r="J55" s="12" t="s">
        <v>1</v>
      </c>
    </row>
    <row r="56" spans="1:10">
      <c r="A56" s="5">
        <v>55</v>
      </c>
      <c r="B56" s="5" t="s">
        <v>152</v>
      </c>
      <c r="C56" s="5" t="s">
        <v>134</v>
      </c>
      <c r="D56" s="5" t="s">
        <v>41</v>
      </c>
      <c r="E56" s="5" t="s">
        <v>53</v>
      </c>
      <c r="F56" s="8" t="s">
        <v>56</v>
      </c>
      <c r="G56" s="5" t="s">
        <v>153</v>
      </c>
      <c r="H56" s="5" t="s">
        <v>1</v>
      </c>
      <c r="I56" s="5" t="s">
        <v>1</v>
      </c>
      <c r="J56" s="5" t="s">
        <v>1</v>
      </c>
    </row>
    <row r="57" spans="1:10">
      <c r="A57" s="12">
        <v>56</v>
      </c>
      <c r="B57" s="12" t="s">
        <v>154</v>
      </c>
      <c r="C57" s="12" t="s">
        <v>134</v>
      </c>
      <c r="D57" s="12" t="s">
        <v>41</v>
      </c>
      <c r="E57" s="12" t="s">
        <v>53</v>
      </c>
      <c r="F57" s="7" t="s">
        <v>43</v>
      </c>
      <c r="G57" s="12" t="s">
        <v>155</v>
      </c>
      <c r="H57" s="12" t="s">
        <v>1</v>
      </c>
      <c r="I57" s="12" t="s">
        <v>1</v>
      </c>
      <c r="J57" s="12" t="s">
        <v>1</v>
      </c>
    </row>
    <row r="58" spans="1:10">
      <c r="A58" s="5">
        <v>57</v>
      </c>
      <c r="B58" s="5" t="s">
        <v>156</v>
      </c>
      <c r="C58" s="5" t="s">
        <v>131</v>
      </c>
      <c r="D58" s="5" t="s">
        <v>41</v>
      </c>
      <c r="E58" s="5" t="s">
        <v>53</v>
      </c>
      <c r="F58" s="8" t="s">
        <v>56</v>
      </c>
      <c r="G58" s="5" t="s">
        <v>157</v>
      </c>
      <c r="H58" s="5" t="s">
        <v>1</v>
      </c>
      <c r="I58" s="5" t="s">
        <v>1</v>
      </c>
      <c r="J58" s="5" t="s">
        <v>1</v>
      </c>
    </row>
    <row r="59" spans="1:10">
      <c r="A59" s="5">
        <v>58</v>
      </c>
      <c r="B59" s="5" t="s">
        <v>158</v>
      </c>
      <c r="C59" s="5" t="s">
        <v>40</v>
      </c>
      <c r="D59" s="5" t="s">
        <v>41</v>
      </c>
      <c r="E59" s="5" t="s">
        <v>53</v>
      </c>
      <c r="F59" s="8" t="s">
        <v>56</v>
      </c>
      <c r="G59" s="5" t="s">
        <v>159</v>
      </c>
      <c r="H59" s="5" t="s">
        <v>1</v>
      </c>
      <c r="I59" s="5" t="s">
        <v>1</v>
      </c>
      <c r="J59" s="5" t="s">
        <v>1</v>
      </c>
    </row>
    <row r="60" spans="1:10">
      <c r="A60" s="5">
        <v>59</v>
      </c>
      <c r="B60" s="5" t="s">
        <v>160</v>
      </c>
      <c r="C60" s="5" t="s">
        <v>40</v>
      </c>
      <c r="D60" s="5" t="s">
        <v>41</v>
      </c>
      <c r="E60" s="5" t="s">
        <v>53</v>
      </c>
      <c r="F60" s="9" t="s">
        <v>95</v>
      </c>
      <c r="G60" s="5" t="s">
        <v>161</v>
      </c>
      <c r="H60" s="5" t="s">
        <v>1</v>
      </c>
      <c r="I60" s="5" t="s">
        <v>1</v>
      </c>
      <c r="J60" s="5" t="s">
        <v>1</v>
      </c>
    </row>
    <row r="61" spans="1:10">
      <c r="A61" s="12">
        <v>62</v>
      </c>
      <c r="B61" s="12" t="s">
        <v>162</v>
      </c>
      <c r="C61" s="12" t="s">
        <v>40</v>
      </c>
      <c r="D61" s="12" t="s">
        <v>41</v>
      </c>
      <c r="E61" s="12" t="s">
        <v>53</v>
      </c>
      <c r="F61" s="7" t="s">
        <v>43</v>
      </c>
      <c r="G61" s="12" t="s">
        <v>163</v>
      </c>
      <c r="H61" s="12" t="s">
        <v>1</v>
      </c>
      <c r="I61" s="12" t="s">
        <v>1</v>
      </c>
      <c r="J61" s="12" t="s">
        <v>1</v>
      </c>
    </row>
  </sheetData>
  <autoFilter xmlns:etc="http://www.wps.cn/officeDocument/2017/etCustomData" ref="A3:J61" etc:filterBottomFollowUsedRange="0">
    <extLst/>
  </autoFilter>
  <mergeCells count="7">
    <mergeCell ref="A1:J1"/>
    <mergeCell ref="A2:J2"/>
    <mergeCell ref="A4:J4"/>
    <mergeCell ref="A21:J21"/>
    <mergeCell ref="A36:J36"/>
    <mergeCell ref="A43:J43"/>
    <mergeCell ref="A54:J5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pane ySplit="3" topLeftCell="A4" activePane="bottomLeft" state="frozen"/>
      <selection/>
      <selection pane="bottomLeft" activeCell="G13" sqref="G13"/>
    </sheetView>
  </sheetViews>
  <sheetFormatPr defaultColWidth="9" defaultRowHeight="16.8"/>
  <cols>
    <col min="1" max="1" width="6" customWidth="1"/>
    <col min="2" max="2" width="22" customWidth="1"/>
    <col min="3" max="3" width="16" customWidth="1"/>
    <col min="4" max="4" width="12" customWidth="1"/>
    <col min="5" max="5" width="18" customWidth="1"/>
    <col min="6" max="6" width="9" customWidth="1"/>
    <col min="7" max="7" width="38" customWidth="1"/>
    <col min="8" max="8" width="10" customWidth="1"/>
    <col min="9" max="9" width="14" customWidth="1"/>
    <col min="10" max="10" width="22" customWidth="1"/>
  </cols>
  <sheetData>
    <row r="1" ht="28" customHeight="1" spans="1:1">
      <c r="A1" s="10" t="s">
        <v>164</v>
      </c>
    </row>
    <row r="2" spans="1:1">
      <c r="A2" s="2" t="s">
        <v>165</v>
      </c>
    </row>
    <row r="3" ht="22" customHeight="1" spans="1:10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</row>
    <row r="4" ht="22" customHeight="1" spans="1:1">
      <c r="A4" s="11" t="s">
        <v>166</v>
      </c>
    </row>
    <row r="5" spans="1:10">
      <c r="A5" s="12">
        <v>63</v>
      </c>
      <c r="B5" s="12" t="s">
        <v>167</v>
      </c>
      <c r="C5" s="12" t="s">
        <v>59</v>
      </c>
      <c r="D5" s="12" t="s">
        <v>60</v>
      </c>
      <c r="E5" s="12" t="s">
        <v>84</v>
      </c>
      <c r="F5" s="7" t="s">
        <v>43</v>
      </c>
      <c r="G5" s="12" t="s">
        <v>168</v>
      </c>
      <c r="H5" s="12" t="s">
        <v>1</v>
      </c>
      <c r="I5" s="12" t="s">
        <v>1</v>
      </c>
      <c r="J5" s="12" t="s">
        <v>1</v>
      </c>
    </row>
    <row r="6" spans="1:10">
      <c r="A6" s="12">
        <v>64</v>
      </c>
      <c r="B6" s="12" t="s">
        <v>169</v>
      </c>
      <c r="C6" s="12" t="s">
        <v>48</v>
      </c>
      <c r="D6" s="12" t="s">
        <v>170</v>
      </c>
      <c r="E6" s="12" t="s">
        <v>171</v>
      </c>
      <c r="F6" s="7" t="s">
        <v>43</v>
      </c>
      <c r="G6" s="12" t="s">
        <v>172</v>
      </c>
      <c r="H6" s="12" t="s">
        <v>1</v>
      </c>
      <c r="I6" s="12" t="s">
        <v>1</v>
      </c>
      <c r="J6" s="12" t="s">
        <v>1</v>
      </c>
    </row>
    <row r="7" ht="31" spans="1:10">
      <c r="A7" s="12">
        <v>65</v>
      </c>
      <c r="B7" s="12" t="s">
        <v>173</v>
      </c>
      <c r="C7" s="12" t="s">
        <v>48</v>
      </c>
      <c r="D7" s="12" t="s">
        <v>170</v>
      </c>
      <c r="E7" s="12" t="s">
        <v>171</v>
      </c>
      <c r="F7" s="7" t="s">
        <v>43</v>
      </c>
      <c r="G7" s="12" t="s">
        <v>174</v>
      </c>
      <c r="H7" s="12" t="s">
        <v>1</v>
      </c>
      <c r="I7" s="12" t="s">
        <v>1</v>
      </c>
      <c r="J7" s="12" t="s">
        <v>1</v>
      </c>
    </row>
    <row r="8" spans="1:10">
      <c r="A8" s="12">
        <v>66</v>
      </c>
      <c r="B8" s="12" t="s">
        <v>175</v>
      </c>
      <c r="C8" s="12" t="s">
        <v>48</v>
      </c>
      <c r="D8" s="12" t="s">
        <v>170</v>
      </c>
      <c r="E8" s="12" t="s">
        <v>171</v>
      </c>
      <c r="F8" s="7" t="s">
        <v>43</v>
      </c>
      <c r="G8" s="12" t="s">
        <v>176</v>
      </c>
      <c r="H8" s="12" t="s">
        <v>1</v>
      </c>
      <c r="I8" s="12" t="s">
        <v>1</v>
      </c>
      <c r="J8" s="12" t="s">
        <v>1</v>
      </c>
    </row>
    <row r="9" spans="1:10">
      <c r="A9" s="12">
        <v>67</v>
      </c>
      <c r="B9" s="12" t="s">
        <v>177</v>
      </c>
      <c r="C9" s="12" t="s">
        <v>48</v>
      </c>
      <c r="D9" s="12" t="s">
        <v>170</v>
      </c>
      <c r="E9" s="12" t="s">
        <v>171</v>
      </c>
      <c r="F9" s="7" t="s">
        <v>43</v>
      </c>
      <c r="G9" s="12" t="s">
        <v>178</v>
      </c>
      <c r="H9" s="12" t="s">
        <v>1</v>
      </c>
      <c r="I9" s="12" t="s">
        <v>1</v>
      </c>
      <c r="J9" s="12" t="s">
        <v>1</v>
      </c>
    </row>
    <row r="10" spans="1:10">
      <c r="A10" s="5">
        <v>68</v>
      </c>
      <c r="B10" s="5" t="s">
        <v>179</v>
      </c>
      <c r="C10" s="5" t="s">
        <v>48</v>
      </c>
      <c r="D10" s="5" t="s">
        <v>170</v>
      </c>
      <c r="E10" s="5" t="s">
        <v>171</v>
      </c>
      <c r="F10" s="8" t="s">
        <v>56</v>
      </c>
      <c r="G10" s="5" t="s">
        <v>180</v>
      </c>
      <c r="H10" s="5" t="s">
        <v>1</v>
      </c>
      <c r="I10" s="5" t="s">
        <v>1</v>
      </c>
      <c r="J10" s="5" t="s">
        <v>1</v>
      </c>
    </row>
    <row r="11" spans="1:10">
      <c r="A11" s="12">
        <v>69</v>
      </c>
      <c r="B11" s="12" t="s">
        <v>181</v>
      </c>
      <c r="C11" s="12" t="s">
        <v>48</v>
      </c>
      <c r="D11" s="12" t="s">
        <v>170</v>
      </c>
      <c r="E11" s="12" t="s">
        <v>171</v>
      </c>
      <c r="F11" s="7" t="s">
        <v>43</v>
      </c>
      <c r="G11" s="12" t="s">
        <v>182</v>
      </c>
      <c r="H11" s="12" t="s">
        <v>1</v>
      </c>
      <c r="I11" s="12" t="s">
        <v>1</v>
      </c>
      <c r="J11" s="12" t="s">
        <v>1</v>
      </c>
    </row>
    <row r="12" spans="1:10">
      <c r="A12" s="5">
        <v>71</v>
      </c>
      <c r="B12" s="5" t="s">
        <v>183</v>
      </c>
      <c r="C12" s="5" t="s">
        <v>48</v>
      </c>
      <c r="D12" s="5" t="s">
        <v>170</v>
      </c>
      <c r="E12" s="5" t="s">
        <v>171</v>
      </c>
      <c r="F12" s="8" t="s">
        <v>56</v>
      </c>
      <c r="G12" s="5" t="s">
        <v>184</v>
      </c>
      <c r="H12" s="5" t="s">
        <v>1</v>
      </c>
      <c r="I12" s="5" t="s">
        <v>1</v>
      </c>
      <c r="J12" s="5" t="s">
        <v>1</v>
      </c>
    </row>
    <row r="13" spans="1:10">
      <c r="A13" s="5">
        <v>72</v>
      </c>
      <c r="B13" s="5" t="s">
        <v>185</v>
      </c>
      <c r="C13" s="5" t="s">
        <v>48</v>
      </c>
      <c r="D13" s="5" t="s">
        <v>170</v>
      </c>
      <c r="E13" s="5" t="s">
        <v>171</v>
      </c>
      <c r="F13" s="8" t="s">
        <v>56</v>
      </c>
      <c r="G13" s="5" t="s">
        <v>186</v>
      </c>
      <c r="H13" s="5" t="s">
        <v>1</v>
      </c>
      <c r="I13" s="5" t="s">
        <v>1</v>
      </c>
      <c r="J13" s="5" t="s">
        <v>1</v>
      </c>
    </row>
    <row r="14" spans="1:10">
      <c r="A14" s="12">
        <v>73</v>
      </c>
      <c r="B14" s="12" t="s">
        <v>187</v>
      </c>
      <c r="C14" s="12" t="s">
        <v>40</v>
      </c>
      <c r="D14" s="12" t="s">
        <v>170</v>
      </c>
      <c r="E14" s="12" t="s">
        <v>171</v>
      </c>
      <c r="F14" s="7" t="s">
        <v>43</v>
      </c>
      <c r="G14" s="12" t="s">
        <v>188</v>
      </c>
      <c r="H14" s="12" t="s">
        <v>1</v>
      </c>
      <c r="I14" s="12" t="s">
        <v>1</v>
      </c>
      <c r="J14" s="12" t="s">
        <v>1</v>
      </c>
    </row>
    <row r="15" ht="31" spans="1:10">
      <c r="A15" s="12">
        <v>74</v>
      </c>
      <c r="B15" s="12" t="s">
        <v>189</v>
      </c>
      <c r="C15" s="12" t="s">
        <v>190</v>
      </c>
      <c r="D15" s="12" t="s">
        <v>170</v>
      </c>
      <c r="E15" s="12" t="s">
        <v>171</v>
      </c>
      <c r="F15" s="7" t="s">
        <v>43</v>
      </c>
      <c r="G15" s="12" t="s">
        <v>191</v>
      </c>
      <c r="H15" s="12" t="s">
        <v>1</v>
      </c>
      <c r="I15" s="12" t="s">
        <v>1</v>
      </c>
      <c r="J15" s="12" t="s">
        <v>1</v>
      </c>
    </row>
    <row r="17" ht="22" customHeight="1" spans="1:1">
      <c r="A17" s="11" t="s">
        <v>192</v>
      </c>
    </row>
    <row r="18" spans="1:10">
      <c r="A18" s="5">
        <v>75</v>
      </c>
      <c r="B18" s="5" t="s">
        <v>193</v>
      </c>
      <c r="C18" s="5" t="s">
        <v>70</v>
      </c>
      <c r="D18" s="5" t="s">
        <v>170</v>
      </c>
      <c r="E18" s="5" t="s">
        <v>171</v>
      </c>
      <c r="F18" s="8" t="s">
        <v>56</v>
      </c>
      <c r="G18" s="5" t="s">
        <v>194</v>
      </c>
      <c r="H18" s="5" t="s">
        <v>1</v>
      </c>
      <c r="I18" s="5" t="s">
        <v>1</v>
      </c>
      <c r="J18" s="5" t="s">
        <v>1</v>
      </c>
    </row>
    <row r="19" spans="1:10">
      <c r="A19" s="12">
        <v>76</v>
      </c>
      <c r="B19" s="12" t="s">
        <v>195</v>
      </c>
      <c r="C19" s="12" t="s">
        <v>196</v>
      </c>
      <c r="D19" s="12" t="s">
        <v>170</v>
      </c>
      <c r="E19" s="12" t="s">
        <v>197</v>
      </c>
      <c r="F19" s="7" t="s">
        <v>43</v>
      </c>
      <c r="G19" s="12" t="s">
        <v>198</v>
      </c>
      <c r="H19" s="12" t="s">
        <v>1</v>
      </c>
      <c r="I19" s="12" t="s">
        <v>1</v>
      </c>
      <c r="J19" s="12" t="s">
        <v>1</v>
      </c>
    </row>
    <row r="20" spans="1:10">
      <c r="A20" s="5">
        <v>77</v>
      </c>
      <c r="B20" s="5" t="s">
        <v>199</v>
      </c>
      <c r="C20" s="5" t="s">
        <v>40</v>
      </c>
      <c r="D20" s="5" t="s">
        <v>170</v>
      </c>
      <c r="E20" s="5" t="s">
        <v>197</v>
      </c>
      <c r="F20" s="8" t="s">
        <v>56</v>
      </c>
      <c r="G20" s="5" t="s">
        <v>200</v>
      </c>
      <c r="H20" s="5" t="s">
        <v>1</v>
      </c>
      <c r="I20" s="5" t="s">
        <v>1</v>
      </c>
      <c r="J20" s="5" t="s">
        <v>1</v>
      </c>
    </row>
    <row r="21" spans="1:10">
      <c r="A21" s="5">
        <v>78</v>
      </c>
      <c r="B21" s="5" t="s">
        <v>201</v>
      </c>
      <c r="C21" s="5" t="s">
        <v>48</v>
      </c>
      <c r="D21" s="5" t="s">
        <v>170</v>
      </c>
      <c r="E21" s="5" t="s">
        <v>202</v>
      </c>
      <c r="F21" s="8" t="s">
        <v>56</v>
      </c>
      <c r="G21" s="5" t="s">
        <v>203</v>
      </c>
      <c r="H21" s="5" t="s">
        <v>1</v>
      </c>
      <c r="I21" s="5" t="s">
        <v>1</v>
      </c>
      <c r="J21" s="5" t="s">
        <v>1</v>
      </c>
    </row>
    <row r="22" spans="1:10">
      <c r="A22" s="12">
        <v>79</v>
      </c>
      <c r="B22" s="12" t="s">
        <v>204</v>
      </c>
      <c r="C22" s="12" t="s">
        <v>73</v>
      </c>
      <c r="D22" s="12" t="s">
        <v>170</v>
      </c>
      <c r="E22" s="12" t="s">
        <v>139</v>
      </c>
      <c r="F22" s="7" t="s">
        <v>43</v>
      </c>
      <c r="G22" s="12" t="s">
        <v>205</v>
      </c>
      <c r="H22" s="12" t="s">
        <v>1</v>
      </c>
      <c r="I22" s="12" t="s">
        <v>1</v>
      </c>
      <c r="J22" s="12" t="s">
        <v>1</v>
      </c>
    </row>
    <row r="23" spans="1:10">
      <c r="A23" s="5">
        <v>80</v>
      </c>
      <c r="B23" s="5" t="s">
        <v>206</v>
      </c>
      <c r="C23" s="5" t="s">
        <v>73</v>
      </c>
      <c r="D23" s="5" t="s">
        <v>170</v>
      </c>
      <c r="E23" s="5" t="s">
        <v>139</v>
      </c>
      <c r="F23" s="9" t="s">
        <v>95</v>
      </c>
      <c r="G23" s="5" t="s">
        <v>207</v>
      </c>
      <c r="H23" s="5" t="s">
        <v>1</v>
      </c>
      <c r="I23" s="5" t="s">
        <v>1</v>
      </c>
      <c r="J23" s="5" t="s">
        <v>1</v>
      </c>
    </row>
    <row r="25" ht="22" customHeight="1" spans="1:1">
      <c r="A25" s="11" t="s">
        <v>208</v>
      </c>
    </row>
    <row r="26" spans="1:10">
      <c r="A26" s="12">
        <v>83</v>
      </c>
      <c r="B26" s="12" t="s">
        <v>209</v>
      </c>
      <c r="C26" s="12" t="s">
        <v>73</v>
      </c>
      <c r="D26" s="12" t="s">
        <v>170</v>
      </c>
      <c r="E26" s="12" t="s">
        <v>139</v>
      </c>
      <c r="F26" s="7" t="s">
        <v>43</v>
      </c>
      <c r="G26" s="12" t="s">
        <v>97</v>
      </c>
      <c r="H26" s="12" t="s">
        <v>1</v>
      </c>
      <c r="I26" s="12" t="s">
        <v>1</v>
      </c>
      <c r="J26" s="12" t="s">
        <v>1</v>
      </c>
    </row>
    <row r="27" spans="1:10">
      <c r="A27" s="5">
        <v>84</v>
      </c>
      <c r="B27" s="5" t="s">
        <v>210</v>
      </c>
      <c r="C27" s="5" t="s">
        <v>131</v>
      </c>
      <c r="D27" s="5" t="s">
        <v>170</v>
      </c>
      <c r="E27" s="5" t="s">
        <v>139</v>
      </c>
      <c r="F27" s="8" t="s">
        <v>56</v>
      </c>
      <c r="G27" s="5" t="s">
        <v>211</v>
      </c>
      <c r="H27" s="5" t="s">
        <v>1</v>
      </c>
      <c r="I27" s="5" t="s">
        <v>1</v>
      </c>
      <c r="J27" s="5" t="s">
        <v>1</v>
      </c>
    </row>
    <row r="28" spans="1:10">
      <c r="A28" s="12">
        <v>85</v>
      </c>
      <c r="B28" s="12" t="s">
        <v>212</v>
      </c>
      <c r="C28" s="12" t="s">
        <v>48</v>
      </c>
      <c r="D28" s="12" t="s">
        <v>170</v>
      </c>
      <c r="E28" s="12" t="s">
        <v>139</v>
      </c>
      <c r="F28" s="7" t="s">
        <v>43</v>
      </c>
      <c r="G28" s="12" t="s">
        <v>213</v>
      </c>
      <c r="H28" s="12" t="s">
        <v>1</v>
      </c>
      <c r="I28" s="12" t="s">
        <v>1</v>
      </c>
      <c r="J28" s="12" t="s">
        <v>1</v>
      </c>
    </row>
    <row r="29" spans="1:10">
      <c r="A29" s="5">
        <v>86</v>
      </c>
      <c r="B29" s="5" t="s">
        <v>214</v>
      </c>
      <c r="C29" s="5" t="s">
        <v>196</v>
      </c>
      <c r="D29" s="5" t="s">
        <v>170</v>
      </c>
      <c r="E29" s="5" t="s">
        <v>139</v>
      </c>
      <c r="F29" s="8" t="s">
        <v>56</v>
      </c>
      <c r="G29" s="5" t="s">
        <v>215</v>
      </c>
      <c r="H29" s="5" t="s">
        <v>1</v>
      </c>
      <c r="I29" s="5" t="s">
        <v>1</v>
      </c>
      <c r="J29" s="5" t="s">
        <v>1</v>
      </c>
    </row>
    <row r="30" spans="1:10">
      <c r="A30" s="5">
        <v>87</v>
      </c>
      <c r="B30" s="5" t="s">
        <v>216</v>
      </c>
      <c r="C30" s="5" t="s">
        <v>48</v>
      </c>
      <c r="D30" s="5" t="s">
        <v>84</v>
      </c>
      <c r="E30" s="5" t="s">
        <v>217</v>
      </c>
      <c r="F30" s="9" t="s">
        <v>95</v>
      </c>
      <c r="G30" s="5" t="s">
        <v>218</v>
      </c>
      <c r="H30" s="5" t="s">
        <v>1</v>
      </c>
      <c r="I30" s="5" t="s">
        <v>1</v>
      </c>
      <c r="J30" s="5" t="s">
        <v>1</v>
      </c>
    </row>
  </sheetData>
  <autoFilter xmlns:etc="http://www.wps.cn/officeDocument/2017/etCustomData" ref="A3:J30" etc:filterBottomFollowUsedRange="0">
    <extLst/>
  </autoFilter>
  <mergeCells count="5">
    <mergeCell ref="A1:J1"/>
    <mergeCell ref="A2:J2"/>
    <mergeCell ref="A4:J4"/>
    <mergeCell ref="A17:J17"/>
    <mergeCell ref="A25:J2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:G1"/>
    </sheetView>
  </sheetViews>
  <sheetFormatPr defaultColWidth="9" defaultRowHeight="16.8" outlineLevelRow="5" outlineLevelCol="6"/>
  <cols>
    <col min="1" max="1" width="10" customWidth="1"/>
    <col min="2" max="2" width="14" customWidth="1"/>
    <col min="3" max="3" width="30" customWidth="1"/>
    <col min="4" max="4" width="18" customWidth="1"/>
    <col min="5" max="5" width="36" customWidth="1"/>
    <col min="6" max="6" width="30" customWidth="1"/>
    <col min="7" max="7" width="10" customWidth="1"/>
  </cols>
  <sheetData>
    <row r="1" ht="28" customHeight="1" spans="1:1">
      <c r="A1" s="1" t="s">
        <v>219</v>
      </c>
    </row>
    <row r="2" spans="1:1">
      <c r="A2" s="2" t="s">
        <v>220</v>
      </c>
    </row>
    <row r="3" ht="24" customHeight="1" spans="1:7">
      <c r="A3" s="6" t="s">
        <v>221</v>
      </c>
      <c r="B3" s="6" t="s">
        <v>222</v>
      </c>
      <c r="C3" s="6" t="s">
        <v>223</v>
      </c>
      <c r="D3" s="6" t="s">
        <v>224</v>
      </c>
      <c r="E3" s="6" t="s">
        <v>225</v>
      </c>
      <c r="F3" s="6" t="s">
        <v>226</v>
      </c>
      <c r="G3" s="6" t="s">
        <v>33</v>
      </c>
    </row>
    <row r="4" ht="80" customHeight="1" spans="1:7">
      <c r="A4" s="5" t="s">
        <v>227</v>
      </c>
      <c r="B4" s="5" t="s">
        <v>228</v>
      </c>
      <c r="C4" s="5" t="s">
        <v>229</v>
      </c>
      <c r="D4" s="5" t="s">
        <v>230</v>
      </c>
      <c r="E4" s="5" t="s">
        <v>231</v>
      </c>
      <c r="F4" s="5" t="s">
        <v>232</v>
      </c>
      <c r="G4" s="7" t="s">
        <v>43</v>
      </c>
    </row>
    <row r="5" ht="80" customHeight="1" spans="1:7">
      <c r="A5" s="5" t="s">
        <v>233</v>
      </c>
      <c r="B5" s="5" t="s">
        <v>234</v>
      </c>
      <c r="C5" s="5" t="s">
        <v>235</v>
      </c>
      <c r="D5" s="5" t="s">
        <v>236</v>
      </c>
      <c r="E5" s="5" t="s">
        <v>237</v>
      </c>
      <c r="F5" s="5" t="s">
        <v>238</v>
      </c>
      <c r="G5" s="8" t="s">
        <v>56</v>
      </c>
    </row>
    <row r="6" ht="80" customHeight="1" spans="1:7">
      <c r="A6" s="5" t="s">
        <v>239</v>
      </c>
      <c r="B6" s="5" t="s">
        <v>240</v>
      </c>
      <c r="C6" s="5" t="s">
        <v>241</v>
      </c>
      <c r="D6" s="5" t="s">
        <v>242</v>
      </c>
      <c r="E6" s="5" t="s">
        <v>243</v>
      </c>
      <c r="F6" s="5" t="s">
        <v>244</v>
      </c>
      <c r="G6" s="9" t="s">
        <v>95</v>
      </c>
    </row>
  </sheetData>
  <mergeCells count="2">
    <mergeCell ref="A1:G1"/>
    <mergeCell ref="A2:G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A1" sqref="A1:E1"/>
    </sheetView>
  </sheetViews>
  <sheetFormatPr defaultColWidth="9" defaultRowHeight="16.8" outlineLevelCol="4"/>
  <cols>
    <col min="1" max="1" width="22" customWidth="1"/>
    <col min="2" max="2" width="32" customWidth="1"/>
    <col min="3" max="3" width="30" customWidth="1"/>
    <col min="4" max="4" width="22" customWidth="1"/>
    <col min="5" max="5" width="18" customWidth="1"/>
  </cols>
  <sheetData>
    <row r="1" ht="28" customHeight="1" spans="1:1">
      <c r="A1" s="1" t="s">
        <v>245</v>
      </c>
    </row>
    <row r="2" spans="1:1">
      <c r="A2" s="2" t="s">
        <v>246</v>
      </c>
    </row>
    <row r="4" ht="17.6" spans="1:1">
      <c r="A4" s="3" t="s">
        <v>247</v>
      </c>
    </row>
    <row r="5" spans="1:5">
      <c r="A5" s="4" t="s">
        <v>29</v>
      </c>
      <c r="B5" s="4" t="s">
        <v>30</v>
      </c>
      <c r="C5" s="4" t="s">
        <v>248</v>
      </c>
      <c r="D5" s="4" t="s">
        <v>32</v>
      </c>
      <c r="E5" s="4" t="s">
        <v>249</v>
      </c>
    </row>
    <row r="6" ht="31" spans="1:5">
      <c r="A6" s="5" t="s">
        <v>250</v>
      </c>
      <c r="B6" s="5" t="s">
        <v>131</v>
      </c>
      <c r="C6" s="5" t="s">
        <v>251</v>
      </c>
      <c r="D6" s="5" t="s">
        <v>252</v>
      </c>
      <c r="E6" s="5" t="s">
        <v>253</v>
      </c>
    </row>
    <row r="7" ht="46" spans="1:5">
      <c r="A7" s="5" t="s">
        <v>254</v>
      </c>
      <c r="B7" s="5" t="s">
        <v>190</v>
      </c>
      <c r="C7" s="5" t="s">
        <v>255</v>
      </c>
      <c r="D7" s="5" t="s">
        <v>256</v>
      </c>
      <c r="E7" s="5" t="s">
        <v>257</v>
      </c>
    </row>
    <row r="8" spans="1:5">
      <c r="A8" s="5" t="s">
        <v>258</v>
      </c>
      <c r="B8" s="5" t="s">
        <v>48</v>
      </c>
      <c r="C8" s="5" t="s">
        <v>259</v>
      </c>
      <c r="D8" s="5" t="s">
        <v>260</v>
      </c>
      <c r="E8" s="5" t="s">
        <v>261</v>
      </c>
    </row>
    <row r="9" spans="1:5">
      <c r="A9" s="5" t="s">
        <v>262</v>
      </c>
      <c r="B9" s="5" t="s">
        <v>48</v>
      </c>
      <c r="C9" s="5" t="s">
        <v>263</v>
      </c>
      <c r="D9" s="5" t="s">
        <v>139</v>
      </c>
      <c r="E9" s="5" t="s">
        <v>264</v>
      </c>
    </row>
    <row r="10" ht="31" spans="1:5">
      <c r="A10" s="5" t="s">
        <v>265</v>
      </c>
      <c r="B10" s="5" t="s">
        <v>131</v>
      </c>
      <c r="C10" s="5" t="s">
        <v>263</v>
      </c>
      <c r="D10" s="5" t="s">
        <v>139</v>
      </c>
      <c r="E10" s="5" t="s">
        <v>266</v>
      </c>
    </row>
    <row r="11" ht="31" spans="1:5">
      <c r="A11" s="5" t="s">
        <v>267</v>
      </c>
      <c r="B11" s="5" t="s">
        <v>48</v>
      </c>
      <c r="C11" s="5" t="s">
        <v>268</v>
      </c>
      <c r="D11" s="5" t="s">
        <v>256</v>
      </c>
      <c r="E11" s="5" t="s">
        <v>269</v>
      </c>
    </row>
    <row r="12" ht="31" spans="1:5">
      <c r="A12" s="5" t="s">
        <v>270</v>
      </c>
      <c r="B12" s="5" t="s">
        <v>73</v>
      </c>
      <c r="C12" s="5" t="s">
        <v>271</v>
      </c>
      <c r="D12" s="5" t="s">
        <v>272</v>
      </c>
      <c r="E12" s="5" t="s">
        <v>273</v>
      </c>
    </row>
    <row r="13" ht="31" spans="1:5">
      <c r="A13" s="5" t="s">
        <v>274</v>
      </c>
      <c r="B13" s="5" t="s">
        <v>48</v>
      </c>
      <c r="C13" s="5" t="s">
        <v>275</v>
      </c>
      <c r="D13" s="5" t="s">
        <v>276</v>
      </c>
      <c r="E13" s="5" t="s">
        <v>277</v>
      </c>
    </row>
    <row r="14" ht="31" spans="1:5">
      <c r="A14" s="5" t="s">
        <v>278</v>
      </c>
      <c r="B14" s="5" t="s">
        <v>73</v>
      </c>
      <c r="C14" s="5" t="s">
        <v>279</v>
      </c>
      <c r="D14" s="5" t="s">
        <v>280</v>
      </c>
      <c r="E14" s="5" t="s">
        <v>281</v>
      </c>
    </row>
    <row r="17" ht="17.6" spans="1:1">
      <c r="A17" s="3" t="s">
        <v>282</v>
      </c>
    </row>
    <row r="18" spans="1:5">
      <c r="A18" s="4" t="s">
        <v>283</v>
      </c>
      <c r="B18" s="4" t="s">
        <v>284</v>
      </c>
      <c r="C18" s="4" t="s">
        <v>285</v>
      </c>
      <c r="D18" s="4" t="s">
        <v>286</v>
      </c>
      <c r="E18" s="4" t="s">
        <v>287</v>
      </c>
    </row>
    <row r="19" spans="1:5">
      <c r="A19" s="5" t="s">
        <v>288</v>
      </c>
      <c r="B19" s="5" t="s">
        <v>289</v>
      </c>
      <c r="C19" s="5" t="s">
        <v>290</v>
      </c>
      <c r="D19" s="5" t="s">
        <v>291</v>
      </c>
      <c r="E19" s="5" t="s">
        <v>292</v>
      </c>
    </row>
    <row r="20" spans="1:5">
      <c r="A20" s="5" t="s">
        <v>293</v>
      </c>
      <c r="B20" s="5" t="s">
        <v>294</v>
      </c>
      <c r="C20" s="5" t="s">
        <v>295</v>
      </c>
      <c r="D20" s="5" t="s">
        <v>296</v>
      </c>
      <c r="E20" s="5" t="s">
        <v>292</v>
      </c>
    </row>
    <row r="21" spans="1:5">
      <c r="A21" s="5" t="s">
        <v>297</v>
      </c>
      <c r="B21" s="5" t="s">
        <v>298</v>
      </c>
      <c r="C21" s="5" t="s">
        <v>299</v>
      </c>
      <c r="D21" s="5" t="s">
        <v>300</v>
      </c>
      <c r="E21" s="5" t="s">
        <v>292</v>
      </c>
    </row>
    <row r="22" spans="1:5">
      <c r="A22" s="5" t="s">
        <v>301</v>
      </c>
      <c r="B22" s="5" t="s">
        <v>302</v>
      </c>
      <c r="C22" s="5" t="s">
        <v>303</v>
      </c>
      <c r="D22" s="5" t="s">
        <v>304</v>
      </c>
      <c r="E22" s="5" t="s">
        <v>292</v>
      </c>
    </row>
    <row r="23" ht="31" spans="1:5">
      <c r="A23" s="5" t="s">
        <v>305</v>
      </c>
      <c r="B23" s="5" t="s">
        <v>306</v>
      </c>
      <c r="C23" s="5" t="s">
        <v>307</v>
      </c>
      <c r="D23" s="5" t="s">
        <v>308</v>
      </c>
      <c r="E23" s="5" t="s">
        <v>292</v>
      </c>
    </row>
    <row r="24" spans="1:5">
      <c r="A24" s="5" t="s">
        <v>93</v>
      </c>
      <c r="B24" s="5" t="e">
        <f>实际报名数/实际录取数</f>
        <v>#NAME?</v>
      </c>
      <c r="C24" s="5" t="s">
        <v>309</v>
      </c>
      <c r="D24" s="5" t="s">
        <v>310</v>
      </c>
      <c r="E24" s="5" t="s">
        <v>311</v>
      </c>
    </row>
    <row r="25" spans="1:5">
      <c r="A25" s="5" t="s">
        <v>216</v>
      </c>
      <c r="B25" s="5" t="e">
        <f>初始意向 vs 最终录取</f>
        <v>#NAME?</v>
      </c>
      <c r="C25" s="5" t="s">
        <v>312</v>
      </c>
      <c r="D25" s="5" t="s">
        <v>313</v>
      </c>
      <c r="E25" s="5" t="s">
        <v>311</v>
      </c>
    </row>
    <row r="26" ht="31" spans="1:5">
      <c r="A26" s="5" t="s">
        <v>314</v>
      </c>
      <c r="B26" s="5" t="s">
        <v>315</v>
      </c>
      <c r="C26" s="5" t="s">
        <v>316</v>
      </c>
      <c r="D26" s="5" t="s">
        <v>317</v>
      </c>
      <c r="E26" s="5" t="s">
        <v>318</v>
      </c>
    </row>
    <row r="27" ht="31" spans="1:5">
      <c r="A27" s="5" t="s">
        <v>319</v>
      </c>
      <c r="B27" s="5" t="s">
        <v>320</v>
      </c>
      <c r="C27" s="5" t="s">
        <v>321</v>
      </c>
      <c r="D27" s="5" t="s">
        <v>322</v>
      </c>
      <c r="E27" s="5" t="s">
        <v>318</v>
      </c>
    </row>
    <row r="28" spans="1:5">
      <c r="A28" s="5" t="s">
        <v>323</v>
      </c>
      <c r="B28" s="5" t="s">
        <v>324</v>
      </c>
      <c r="C28" s="5" t="s">
        <v>325</v>
      </c>
      <c r="D28" s="5" t="s">
        <v>326</v>
      </c>
      <c r="E28" s="5" t="s">
        <v>318</v>
      </c>
    </row>
  </sheetData>
  <mergeCells count="2">
    <mergeCell ref="A1:E1"/>
    <mergeCell ref="A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00_使用说明</vt:lpstr>
      <vt:lpstr>01_院校数据</vt:lpstr>
      <vt:lpstr>02_学员数据</vt:lpstr>
      <vt:lpstr>03_三阶段路线图</vt:lpstr>
      <vt:lpstr>04_未来扩展层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</cp:lastModifiedBy>
  <dcterms:created xsi:type="dcterms:W3CDTF">2026-05-12T11:33:00Z</dcterms:created>
  <dcterms:modified xsi:type="dcterms:W3CDTF">2026-05-12T11:46:52Z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B5C8A005C93E0BA4ACA2026A884C74FC_42</vt:lpwstr>
  </property>
  <property fmtid="{D5CDD505-2E9C-101B-9397-08002B2CF9AE}" pid="3" name="KSOProductBuildVer">
    <vt:lpwstr>2052-7.2.2.8955</vt:lpwstr>
  </property>
</Properties>
</file>